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Labels!$A$1:$G$131</definedName>
  </definedNames>
  <calcPr/>
</workbook>
</file>

<file path=xl/sharedStrings.xml><?xml version="1.0" encoding="utf-8"?>
<sst xmlns="http://schemas.openxmlformats.org/spreadsheetml/2006/main" count="837" uniqueCount="235">
  <si>
    <t>Claim labeling: Aster</t>
  </si>
  <si>
    <t>What to do</t>
  </si>
  <si>
    <t>1. Read each paper's sentences in order on the Labels tab (they are grouped by paper, in reading order).</t>
  </si>
  <si>
    <t>2. In the yellow 'label' column, pick CLAIM or BACKGROUND from the dropdown. Every sentence needs a label.</t>
  </si>
  <si>
    <t>3. Use 'note' for anything borderline, so we can discuss it. Don't change any other column.</t>
  </si>
  <si>
    <t>4. Label on your own, without comparing with others. Some papers are labeled by two people on purpose.</t>
  </si>
  <si>
    <t>5. Due Sunday (Oct 18). Send the file back as is (don't rename columns or re-sort).</t>
  </si>
  <si>
    <t>Rules (full guide: data/claims/claim_labeling_guide.md in the repo)</t>
  </si>
  <si>
    <t>CLAIM: the paper's own objective, contribution, finding, or conclusion (including implications of its findings).</t>
  </si>
  <si>
    <t>BACKGROUND: everything else, including prior work, motivation, gaps, and the study's own setup.</t>
  </si>
  <si>
    <t>NEW: descriptions of this study's design, setting, recruitment, or sample are BACKGROUND,</t>
  </si>
  <si>
    <t>unless the paper presents them as its contribution (e.g. first test in a particular population).</t>
  </si>
  <si>
    <t>Example (how a filled row looks)</t>
  </si>
  <si>
    <t>text: This secondary analysis of a randomized clinical trial included 2255 homeless adults with mental illnesses.</t>
  </si>
  <si>
    <t>label: BACKGROUND    note: (empty, not borderline)</t>
  </si>
  <si>
    <t>Progress</t>
  </si>
  <si>
    <t>Sentences</t>
  </si>
  <si>
    <t>paper_id</t>
  </si>
  <si>
    <t>pmcid</t>
  </si>
  <si>
    <t>sentence_id</t>
  </si>
  <si>
    <t>section</t>
  </si>
  <si>
    <t>text</t>
  </si>
  <si>
    <t>label</t>
  </si>
  <si>
    <t>note</t>
  </si>
  <si>
    <t>doi:10.1001/jamanetworkopen.2026.16300</t>
  </si>
  <si>
    <t>PMC13231289</t>
  </si>
  <si>
    <t>s001</t>
  </si>
  <si>
    <t>abstract:background</t>
  </si>
  <si>
    <t>CLAIM</t>
  </si>
  <si>
    <t>The prevalence of mental illness is high among homeless populations, yet traditional clinic-based care is often inaccessible.</t>
  </si>
  <si>
    <t>BACKGROUND</t>
  </si>
  <si>
    <t>s002</t>
  </si>
  <si>
    <t>For urban areas where housing-first models are difficult to implement because of high costs, integrated on-site psychiatric services in shelters may offer a feasible alternative.</t>
  </si>
  <si>
    <t>Still blank</t>
  </si>
  <si>
    <t>This sounds like it could be background or claim. However, since this sentence is in the "background" section, I leaned towards background.</t>
  </si>
  <si>
    <t>s003</t>
  </si>
  <si>
    <t>abstract:objective</t>
  </si>
  <si>
    <t>To examine clinical and demographic factors associated with housing attainment among individuals experiencing homelessness with mental illness participating in an on-site psychiatric service program.</t>
  </si>
  <si>
    <t>s004</t>
  </si>
  <si>
    <t>title</t>
  </si>
  <si>
    <t>abstract:methods</t>
  </si>
  <si>
    <t>This 5-year retrospective cohort study analyzed data collected from October 2019 to October 2024.</t>
  </si>
  <si>
    <t>sentences</t>
  </si>
  <si>
    <t>link</t>
  </si>
  <si>
    <t>s005</t>
  </si>
  <si>
    <t>The study was conducted at the only public temporary shelter in Taipei, Taiwan.</t>
  </si>
  <si>
    <t>Housing Attainment With the Psychiatric Assistance for Transitional Homelessness in Shelters Program</t>
  </si>
  <si>
    <t>s006</t>
  </si>
  <si>
    <t>https://doi.org/10.1001/jamanetworkopen.2026.16300</t>
  </si>
  <si>
    <t>A sample of individuals with mental illness who voluntarily joined the program was identified.</t>
  </si>
  <si>
    <t>PMC11539017</t>
  </si>
  <si>
    <t>doi:10.1001/jamanetworkopen.2024.43396</t>
  </si>
  <si>
    <t>Cost-Effectiveness of Temporary Financial Assistance for Veterans Experiencing Housing Instability</t>
  </si>
  <si>
    <t>https://doi.org/10.1001/jamanetworkopen.2024.43396</t>
  </si>
  <si>
    <t>s007</t>
  </si>
  <si>
    <t>PMC13559598</t>
  </si>
  <si>
    <t>Participants received integrated on-site psychiatric care through the Psychiatric Assistance for Transitional Homelessness in Shelters (PATHS) program, which included psychiatric assessment, pharmacological treatment, access to social welfare, and referrals for psychiatric hospitalization, all delivered within the shelter setting.</t>
  </si>
  <si>
    <t>doi:10.1001/jamanetworkopen.2026.32697</t>
  </si>
  <si>
    <t>Smoke-Free Home Intervention in Permanent Supportive Housing</t>
  </si>
  <si>
    <t>https://doi.org/10.1001/jamanetworkopen.2026.32697</t>
  </si>
  <si>
    <t>s008</t>
  </si>
  <si>
    <t>PMC12052510</t>
  </si>
  <si>
    <t>doi:10.1111/1475-6773.14411</t>
  </si>
  <si>
    <t>The primary outcome was housing attainment, defined a priori as relocation to residential psychiatric rehabilitation facilities, original family, or rental house upon shelter exit.</t>
  </si>
  <si>
    <t>Changes in healthcare costs and utilization for Medicaid recipients who received supportive housing through a payer‐community‐based housing partnership</t>
  </si>
  <si>
    <t>https://doi.org/10.1111/1475-6773.14411</t>
  </si>
  <si>
    <t>s009</t>
  </si>
  <si>
    <t>Categorical variables were compared using χ^2 and Fisher exact tests.</t>
  </si>
  <si>
    <t>s010</t>
  </si>
  <si>
    <t>abstract:results</t>
  </si>
  <si>
    <t>Of 231 individuals initially identified, 3 individuals who died and 20 who remained in the shelter at the end of the study were excluded.</t>
  </si>
  <si>
    <t>s011</t>
  </si>
  <si>
    <t>Among the 208 included participants (90.0% of the initial sample; median [IQR] age, 54.0 [44.3-62.0] years; 154 male [74.0%]), alcohol use disorder predominated among men, whereas women had a higher prevalence of schizophrenia.</t>
  </si>
  <si>
    <t>s012</t>
  </si>
  <si>
    <t>Overall, 97 participants (46.6%) attained housing.</t>
  </si>
  <si>
    <t>s013</t>
  </si>
  <si>
    <t>Older age was significantly associated with housing attainment (odds ratio [OR], 1.03; 95% CI, 1.01-1.05; P = .04).</t>
  </si>
  <si>
    <t>s014</t>
  </si>
  <si>
    <t>In contrast, alcohol use disorder (OR, 0.54; 95% CI, 0.29-0.99; P = .045) and opioid or methamphetamine use disorders (OR, 0.29; 95% CI, 0.14-0.62; P = .001) were associated with lower likelihood of housing attainment.</t>
  </si>
  <si>
    <t>s015</t>
  </si>
  <si>
    <t>abstract:conclusions</t>
  </si>
  <si>
    <t>In this retrospective cohort study of 208 homeless individuals with mental illness, on-site psychiatric services provided a framework for bridging the gap between transitional shelters and housing attainment.</t>
  </si>
  <si>
    <t>s016</t>
  </si>
  <si>
    <t>These findings suggest that transitioning from universal models toward individualized interventions is essential to address the diverse needs of this population and improve housing success.</t>
  </si>
  <si>
    <t>s017</t>
  </si>
  <si>
    <t>introduction</t>
  </si>
  <si>
    <t>Homelessness remains a pressing social issue worldwide, prompting both governmental and nongovernmental organizations to develop intervention strategies.</t>
  </si>
  <si>
    <t>s018</t>
  </si>
  <si>
    <t>The multifaceted nature of homelessness is closely linked to economic challenges, inadequate social support systems, and public health concerns, particularly regarding the high burden of mental illness.[1],[2]</t>
  </si>
  <si>
    <t>All of these "introduction" sentences could possibly sound like claims, but since they reside in the "introduction" blurb, I labeled them as background.</t>
  </si>
  <si>
    <t>s019</t>
  </si>
  <si>
    <t>Mental illness is significantly more prevalent among individuals experiencing homelessness than in the general population,[3],[4],[5],[6] with prevalence estimated to be as high as 67% to 76%.[7],[8]</t>
  </si>
  <si>
    <t>s020</t>
  </si>
  <si>
    <t>The presence of comorbid mental disorders has been associated with worse outcomes, including a 70% increase in mortality risk,[9] higher rates of criminal behavior and victimization,[10],[11] and longer durations of homelessness.[12]</t>
  </si>
  <si>
    <t>s021</t>
  </si>
  <si>
    <t>However, since most mental disorders are treatable, they present a valuable opportunity to reduce health disparities through targeted interventions.[13],[14]</t>
  </si>
  <si>
    <t>s022</t>
  </si>
  <si>
    <t>Evidence suggests conventional clinic-based models of care that require unhoused patients to attend mental health appointments regularly and on time are not ideal.[6],[15]</t>
  </si>
  <si>
    <t>s023</t>
  </si>
  <si>
    <t>As a result, the current approach for intervention programs in individuals experiencing homelessness with mental disorders has been shifted from the traditional treatment-first model, which required treatment before housing, to the housing-first (HF) model.</t>
  </si>
  <si>
    <t>s024</t>
  </si>
  <si>
    <t>This newer approach first provides stable housing and then offers recovery-oriented support through assertive community treatment teams, a method that has been shown to more reliably secure long-term housing.[16],[17],[18],[19],[20]</t>
  </si>
  <si>
    <t>s025</t>
  </si>
  <si>
    <t>However, studies have shown that no significant differences were observed for psychiatric symptoms severity between HF group and treatment-as-usual group (ie, only receiving existing support and social services).[17],[21],[22]</t>
  </si>
  <si>
    <t>s026</t>
  </si>
  <si>
    <t>Therefore, the HF model alone may be insufficient, and its success hinges on implementation, specifically the tailored type, and high quality and sufficient intensity of support services, to ensure long-term housing stability.[20],[22],[23],[24],[25]</t>
  </si>
  <si>
    <t>s027</t>
  </si>
  <si>
    <t>Implementing the HF model in Taipei City, located in a metropolitan area in Taiwan, faces economic difficulties.</t>
  </si>
  <si>
    <t>s028</t>
  </si>
  <si>
    <t>In 2024, Taipei ranked 17th globally for housing unaffordability among cities, with a price-to-income ratio of 28.8.[26]</t>
  </si>
  <si>
    <t>s029</t>
  </si>
  <si>
    <t>In this context, the city faces substantial challenges in supporting its estimated 700 to 800 individuals experiencing homelessness.</t>
  </si>
  <si>
    <t>s030</t>
  </si>
  <si>
    <t>These challenges include a lack of public housing to implement an HF model, limited rental subsidies, and low public support for prioritizing this population over other vulnerable groups.</t>
  </si>
  <si>
    <t>s031</t>
  </si>
  <si>
    <t>Yuang-Tong House, the only public temporary homeless shelter operated by the Taipei City Department of Social Welfare, is one of the few social housing facilities available for individuals experiencing homelessness, but it previously did not provide psychiatric services.</t>
  </si>
  <si>
    <t>s032</t>
  </si>
  <si>
    <t>Unpublished internal data from Yuang-Tong House (provided by coauthor Y.C.P., who is the director of Yuang-Tong House) indicate that fewer than one-quarter of its residents were able to achieve housing attainment through the support of social workers alone.</t>
  </si>
  <si>
    <t>s033</t>
  </si>
  <si>
    <t>This rate is even lower among those with co-occurring mental illness.</t>
  </si>
  <si>
    <t>s034</t>
  </si>
  <si>
    <t>Research shows that integrating psychiatric services with housing support substantially improves engagement in care for this population.[27]</t>
  </si>
  <si>
    <t>s035</t>
  </si>
  <si>
    <t>To address this unmet need, the Psychiatric Assistance for Transitional Homelessness in Shelters (PATHS) program was established in 2019.</t>
  </si>
  <si>
    <t>s036</t>
  </si>
  <si>
    <t>The PATHS program delivers on-site psychiatric services at Yuang-Tong House, aiming to directly address residents’ mental health needs, enhance their access to care, and ensure that their homeless status does not impede treatment delivery.</t>
  </si>
  <si>
    <t>s037</t>
  </si>
  <si>
    <t>Although factors such as case management assistance and younger age often facilitate shelter exit, others, including chronic homelessness and criminal records, frequently emerge as substantial barriers in international studies.[12],[28]</t>
  </si>
  <si>
    <t>s038</t>
  </si>
  <si>
    <t>Against this backdrop, the PATHS program recognizes the bidirectional nature of mental health and housing instability, in alignment with established evidence.[29],[30],[31]</t>
  </si>
  <si>
    <t>s039</t>
  </si>
  <si>
    <t>However, most existing literature focuses on the general severity of psychological symptoms rather than structured psychiatric diagnostic interviews,[32],[33],[34] leaving the relationship between specific psychiatric diagnoses and housing outcomes largely unexplored.</t>
  </si>
  <si>
    <t>s040</t>
  </si>
  <si>
    <t>Although determining whether mental illness was the primary driver of the initial onset of homelessness remains challenging, the PATHS program’s longitudinal framework allows for the systematic tracking of participants’ status.</t>
  </si>
  <si>
    <t>s041</t>
  </si>
  <si>
    <t>In this 5-year observational cohort study, we followed individuals experiencing homelessness at the shelter to characterize their trajectories and to identify factors associated with shelter exit outcomes.</t>
  </si>
  <si>
    <t>s042</t>
  </si>
  <si>
    <t>We also examined the forms of housing attainment and identified the variables explaining each outcome.</t>
  </si>
  <si>
    <t>s043</t>
  </si>
  <si>
    <t>In particular, we assessed each participant’s psychiatric diagnoses, as defined by the Diagnostic and Statistical Manual of Mental Disorders (Fifth Edition), to evaluate the impact of comorbid mental health conditions on shelter exit outcomes.</t>
  </si>
  <si>
    <t>s044</t>
  </si>
  <si>
    <t>Accordingly, this study aimed to determine the housing attainment rate for individuals experiencing homelessness with mental illness under the PATHS program and to identify the clinical and demographic factors associated with successful housing attainment.</t>
  </si>
  <si>
    <t>This is a motivation.</t>
  </si>
  <si>
    <t>The US Department of Veterans Affairs (VA) partners with community organizations (grantees) across the US to provide temporary financial assistance (TFA) to vulnerable veterans through the Supportive Services for Veteran Families (SSVF) program.</t>
  </si>
  <si>
    <t>The goal of TFA for housing-related expenses is to prevent homelessness or to quickly house those who have become homeless.</t>
  </si>
  <si>
    <t>To assess the cost-effectiveness of the SSVF program with TFA vs without TFA as an intervention for veterans who are experiencing housing insecurity.</t>
  </si>
  <si>
    <t>This is more of a clause than a sentence.</t>
  </si>
  <si>
    <t>This study used a Markov simulation model to compare cost and housing outcomes in a hypothetical cohort of veterans enrolled in the SSVF program.</t>
  </si>
  <si>
    <t>Enrollees who are homeless receive rapid rehousing services, while those who are at risk of becoming homeless receive homelessness prevention services.</t>
  </si>
  <si>
    <t>The SSVF program with TFA for veterans who are experiencing housing insecurity.</t>
  </si>
  <si>
    <t>The effectiveness measure was the incremental cost-effectiveness ratio (ICER) with quality-adjusted life-years (QALYs).</t>
  </si>
  <si>
    <t>The model was parameterized using a combination of inputs taken from published literature and internal VA data.</t>
  </si>
  <si>
    <t>The model had a 2-year time horizon and a 1-day cycle length.</t>
  </si>
  <si>
    <t>In addition, probabilistic sensitivity analyses were conducted using 10 000 Monte Carlo simulations.</t>
  </si>
  <si>
    <t>The base case analyses found that the SSVF program with TFA was more costly ($35 814 vs $32 562) and yielded more QALYs (1.541 vs 1.398) than the SSVF program without TFA.</t>
  </si>
  <si>
    <t>The resulting ICER was $22 676 per QALY, indicating that TFA is the preferred strategy at a willingness-to-pay threshold of $150 000 per QALY.</t>
  </si>
  <si>
    <t>This ICER was $19 114 per QALY for veterans in the rapid rehousing component of the SSVF program and $29 751 per QALY for those in the homelessness prevention component of the SSVF program.</t>
  </si>
  <si>
    <t>At a willingness-to-pay threshold of $150 000 per QALY, probabilistic sensitivity analyses showed that TFA was cost-effective in 8972 of the 10 000 Monte Carlo simulations (89.7%) for rapid rehousing and in 8796 of the 10 000 Monte Carlo simulations (88.0%) for homelessness prevention only.</t>
  </si>
  <si>
    <t>This economic evaluation suggests that TFA is a cost-effective approach (ie, yields improved health benefits at a reasonable cost) for addressing housing insecurity for veterans enrolling in the SSVF program.</t>
  </si>
  <si>
    <t>Future research could examine the cost effectiveness of large, nationwide housing interventions such as this one among subpopulations of veterans such as those with certain comorbidities including severe mental illness or substance use disorders, those with chronic diseases, or those experiencing long-term housing instability vs acute loss of housing.</t>
  </si>
  <si>
    <t>Could be either... but since discusses possible future work I wouldn't personally think of it as a "claim."</t>
  </si>
  <si>
    <t>Over the past several decades, there has been growing recognition of the important influence that social determinants of health (SDOHs) can play in patient health outcomes.[1]</t>
  </si>
  <si>
    <t>This has led to calls from high-profile governing bodies for health care professionals and payers to address these SDOHs to improve health equity and control health care costs.[2],[3],[4]</t>
  </si>
  <si>
    <t>Many health systems have heeded these calls; a recent study estimated that between 2017 and 2019, 78 unique programs from 57 different health systems in the US invested $2.5 billion in programs designed to improve SDOHs.[5]</t>
  </si>
  <si>
    <t>Housing programs accounted for $1.6 billion, or almost two-thirds of this funding.</t>
  </si>
  <si>
    <t>In fiscal year 2023, the US federal government spent $8.7 billion on targeted housing assistance programs for individuals experiencing homelessness.[6]</t>
  </si>
  <si>
    <t>Many of these programs use the Housing First approach, in which the primary goal is to provide an individual experiencing homelessness with permanent housing.</t>
  </si>
  <si>
    <t>Housing assistance programs supported by the federal government include both long-term (ie, permanent supportive housing) and short-term (ie, rapid rehousing) programs.</t>
  </si>
  <si>
    <t>The Department of Veterans Affairs (VA) administers programs of both types, including the US Department of Housing and Urban Development-VA Supportive Housing (HUD-VASH) program, which provides permanent supportive housing, and the Supportive Services for Veteran Families (SSVF) program, which includes rapid rehousing.</t>
  </si>
  <si>
    <t>An additional component of the SSVF program is homelessness prevention, which is intended for veterans who are not homeless but at risk of becoming so in the immediate future.</t>
  </si>
  <si>
    <t>The SSVF program is a partnership between the VA and nonprofit organizations nationwide providing case management, assistance accessing both VA and non-VA health benefits, and health care navigation services.</t>
  </si>
  <si>
    <t>One service offered through the SSVF program is temporary financial assistance (TFA), which is a short-term monetary benefit that can be used to pay rent, utility payments, security deposits, and other housing-related expenses that the veteran may have.</t>
  </si>
  <si>
    <t>Previous studies have found that TFA is associated with higher rates of stable housing,[7] lower health care costs,[8] and lower rates of mortality and suicidal ideation.[9]</t>
  </si>
  <si>
    <t>Social services organizations—whether at the national level like the VA or at the local, state, or municipal level—have many competing priorities and limited financial resources with which to help individuals facing housing instability.</t>
  </si>
  <si>
    <t>Rigorous economic evaluations of social services interventions are vital to inform policy makers as to the best use of these limited funds to be able to have the most effect.</t>
  </si>
  <si>
    <t>I am 51/49 on this. It falls under the introduction so probably "background," however, the authors are making an objective statement here so I chose "claim." Also there are no citations "[]" here so I believe claim.</t>
  </si>
  <si>
    <t>Although more common in health care settings, cost-effectiveness analyses can play a key role in social services evaluations as well, as they can allow for quantifying the tradeoff between benefits that recipients would receive and the resources required to produce those benefits.</t>
  </si>
  <si>
    <t>Only a handful of cost-effectiveness analyses of homelessness interventions exist in the published literature, to our knowledge; those that do exist report results from clinical trials, one focused on the HUD-VASH program in the VA population[10] and 2 others focused on Housing First interventions in Canada[11] and France.[12]</t>
  </si>
  <si>
    <t>Although randomized clinical trials are considered the criterion standard for study design due to their internal validity and lack of bias in estimates due to unmeasured confounding, studies using observational data can have major advantages such as greater external validity and larger sample sizes.</t>
  </si>
  <si>
    <t>In this article, we describe an economic evaluation of TFA through the SSVF program to compare the costs associated with the program and the benefits received by the veterans using a simulation model parameterized with veteran data from encounters with the SSVF program.</t>
  </si>
  <si>
    <t>Talks about what the paper is planning on proving, not the results itself.</t>
  </si>
  <si>
    <t>Chronic diseases related to tobacco use and secondhand smoke exposure are the leading causes of death among formerly homeless adults living in permanent supportive housing (PSH) in the US.</t>
  </si>
  <si>
    <t>To evaluate the efficacy of a brief, smoke-free home intervention in promoting voluntary smoke-free home adoption among PSH residents.</t>
  </si>
  <si>
    <t>In this cluster randomized clinical trial, data collection occurred from January 11, 2022, to March 31, 2025.</t>
  </si>
  <si>
    <t>Participants were residents aged 18 years or older who smoked cigarettes at home in 40 multiunit PSH sites in the San Francisco Bay area, randomized to intervention or waiting list control clusters, and housing staff who worked at the study sites.</t>
  </si>
  <si>
    <t>Residents in intervention sites received one-on-one in-person coaching from research staff on adopting a smoke-free home; waiting list control site residents received no interventions during the study but were offered the intervention once the intervention group completed follow-up.</t>
  </si>
  <si>
    <t>Staff in both intervention and control sites received training on providing brief tobacco cessation coaching.</t>
  </si>
  <si>
    <t>Primary outcomes were smoke-free home adoption for at least 90 days and 7-day carbon monoxide–verified point prevalence abstinence (PPA; expired carbon monoxide level ≤5 ppm) at 6 months.</t>
  </si>
  <si>
    <t>Secondary outcomes were any adoption (≥1 day) of a smoke-free home in the past 90 days among residents and changes in Smoking Knowledge, Attitudes, and Practices (S-KAP) scores among staff.</t>
  </si>
  <si>
    <t>The trial enrolled 400 residents (mean [SD] age, 54.5 [10.7] years; 251 [63.1%] male), 191 in the intervention and 209 in the control cluster.</t>
  </si>
  <si>
    <t>At 6 months, 13 residents (6.8%) in the intervention and 10 (4.8%) in the control group adopted a smoke-free home for at least 90 days (odds ratio [OR], 1.45; 95% CI, 0.69-3.07).</t>
  </si>
  <si>
    <t>Few residents achieved 7-day PPA, though more intervention residents (12 [6.3%]) achieved it compared with controls (2 [1.0%]) (OR, 6.94; 95% CI, 1.69-28.45).</t>
  </si>
  <si>
    <t>Intervention residents had greater odds than control residents of any smoke-free home adoption of at least 1 day (121 [63.4%] vs 77 [36.8%]; adjusted OR, 3.83 [95% CI, 2.63-5.57]).</t>
  </si>
  <si>
    <t>Among staff, mean (SD) S-KAP scores increased at 6 months vs baseline for beliefs (by 0.21 [0.55] points) and practices (by 0.24 [0.61] points) pertaining to providing cessation treatment.</t>
  </si>
  <si>
    <t>In this cluster randomized clinical trial, the brief intervention did not result in a significant increase in smoke-free home adoption for at least 90 days, though more residents in the intervention than the control group attempted adoption for at least 1 day.</t>
  </si>
  <si>
    <t>These findings support the scalability of this approach to reduce smoking in PSH, but more intensive interventions may be needed to sustain intervention effects.</t>
  </si>
  <si>
    <t>The authors are claiming that their findings can support scalability of future research.</t>
  </si>
  <si>
    <t>Tobacco use is the leading cause of preventable death in the US, with over 490 000 deaths attributed to tobacco use annually, including 19 000 from secondhand smoke (SHS) exposure.[1]</t>
  </si>
  <si>
    <t>While the prevalence of cigarette smoking is 9.9% nationally,[2] an estimated 60% of the 400 000 people living in permanent supportive housing (PSH) smoke cigarettes,[3],[4] and tobacco-related chronic diseases are their leading cause of death.[5]</t>
  </si>
  <si>
    <t>PSH is subsidized housing with voluntary supportive services for people exiting chronic homelessness[6]; eligibility includes having a documented disability, including mental health and substance use disorders.[7]</t>
  </si>
  <si>
    <t>Housing First is the preferred PSH model, providing low-threshold access to housing without preconditions of abstinence from substance use or the requirement to engage in supportive services.[6]</t>
  </si>
  <si>
    <t>People living and working in multiunit PSH are susceptible to SHS exposure due to high smoking rates and shared indoor environments.[8]</t>
  </si>
  <si>
    <t>Smoke-free policies can increase smoking cessation, reduce exposure to SHS, and improve tobacco-related health outcomes.[9],[10],[11]</t>
  </si>
  <si>
    <t>In 2018, the Department of Housing and Urban Development (HUD) implemented smoke-free policies in public housing authority housing.[12]</t>
  </si>
  <si>
    <t>If have a citation then lowkey background.</t>
  </si>
  <si>
    <t>However, these policies did not apply to most subsidized housing, including multiunit PSH.</t>
  </si>
  <si>
    <t>There is concern among PSH providers that smoke-free policies could increase homelessness if people leave their housing because of the policies or if policy violations lead to evictions.[13]</t>
  </si>
  <si>
    <t>Promoting the voluntary adoption of smoke-free homes—no smoking at any time or in any place inside the home—may be one way to increase access to smoke-free environments in PSH.[14],[15]</t>
  </si>
  <si>
    <t>This approach may shift social norms around indoor smoking and increase resident buy-in for smoke-free policies, particularly as residents in PSH make frequent attempts to quit smoking,[16] paving the way for the broader implementation of smoke-free policies in PSH.[13]</t>
  </si>
  <si>
    <t>Our group previously pilot-tested a brief, multicomponent smoke-free home intervention among 100 PSH resident participants and 62 PSH staff participants and found it to be feasible, acceptable, and associated with increased adoption of smoke-free homes among residents and improved cessation practices among PSH staff.[16]</t>
  </si>
  <si>
    <t>The purpose of the current waiting list cluster randomized clinical trial was to evaluate the efficacy of the brief, multicomponent smoke-free home intervention to increase smoke-free home adoption and reduce cigarette consumption among residents living in PSH.</t>
  </si>
  <si>
    <t>We also assessed attitudes, beliefs, and practices toward providing smoking cessation care among PSH staff.</t>
  </si>
  <si>
    <t>To evaluate healthcare cost and utilization changes among Medicaid and dually eligible participants of a supportive housing program implemented by a managed care organization and community‐based organization.</t>
  </si>
  <si>
    <t>Healthcare claims were reviewed retrospectively for 80 program participants in one urban Pennsylvania county between 1/1/2018 and 9/28/2023 who had ≥6 months of claims data in both pre‐ and post‐housing periods.</t>
  </si>
  <si>
    <t>Eligibility included age &gt;18 years, Medicaid/Special Needs Plan enrollment, and housing need.</t>
  </si>
  <si>
    <t>Due to limited housing units, potential participants were prioritized by medical need and history of unplanned care.</t>
  </si>
  <si>
    <t>Healthcare cost and utilization were compared during pre‐ (i.e., 12 months before housing initiation) and post‐periods (i.e., 12 months after housing initiation).</t>
  </si>
  <si>
    <t>Compared to the pre‐period, significantly lower medical (−40.4%, p = 0.004), emergency department (−62.7%, p = 0.02), and total (−33.3%, p = 0.02) costs of care were observed in the post‐period.</t>
  </si>
  <si>
    <t>Significantly lower primary care (−50.0%, p = 0.0003), specialist (−31.3%, p = 0.02), and emergency department (−50.0%, p = 0.03) utilization were also observed.</t>
  </si>
  <si>
    <t>Healthcare cost and utilization among medically complex individuals were lower with supportive housing.</t>
  </si>
  <si>
    <t>Future evaluations with randomized designs can address the potential causal impact of supportive housing as a healthcare intervention on specific outcomes.</t>
  </si>
  <si>
    <t>In 2023, the U.S. Department of Housing and Urban Development's (HUD) point‐in‐time estimate identified over 650,000 Americans living in unsheltered or temporary housing conditions—the highest number on record.[1]</t>
  </si>
  <si>
    <t>Deficient and discriminatory policies/practices that affect housing supply, affordability, and quality have created unstable housing conditions and contribute to the ongoing homelessness crisis.[2]</t>
  </si>
  <si>
    <t>Low access to healthcare services and social assistance among the country's most socially and medically vulnerable groups are strongly associated with housing instability and chronic homelessness.[1], [3]</t>
  </si>
  <si>
    <t>Given the interplay between housing and health,[4] leveraging program, policy, and payment innovations within the U.S. healthcare system to address homelessness and direct more housing aid and related supports to affected individuals is pivotal.[5]</t>
  </si>
  <si>
    <t>The U.S. government has encouraged and assisted states in financing housing and related supports through Medicaid section 1115 demonstrations and other programs.[6]</t>
  </si>
  <si>
    <t>Use of innovative payment mechanisms (e.g., value‐based payment (VBP) models) is increasing within federal and state programs to link housing and health outcomes to payments provided to managed care organizations (MCOs) and healthcare/social service providers.[7], [8]</t>
  </si>
  <si>
    <t>Healthcare systems and payers are making greater investments in housing initiatives by leveraging cross‐sector partnerships with community‐based organizations (CBOs) and to drive outcome improvements.[9]</t>
  </si>
  <si>
    <t>Although federal and state financial support is crucial for implementation, funding mechanisms and policies do not always provide sufficient financial support.</t>
  </si>
  <si>
    <t>For example, while Medicaid can pay for some housing‐related services, Medicaid MCOs have been prohibited from using premiums to directly subsidize rent/housing costs.[10]</t>
  </si>
  <si>
    <t>Braiding multiple funding sources available to payers and community partners can be an effective approach for sustaining and scaling housing programs.[11]</t>
  </si>
  <si>
    <t>Cultivating Health for Success (CHFS) is a supportive housing program implemented by UPMC Health Plan (UPMC HP), a payer organization, and community‐based housing partners.</t>
  </si>
  <si>
    <t>The program is funded through a braided financial model including HUD vouchers to secure housing, Medicaid premiums to provide other housing‐related assistance, and participant linkage to healthcare services.</t>
  </si>
  <si>
    <t>In 2019, UPMC HP implemented a VBP within CHFS that incentivized community partners to achieve specified housing outcomes.</t>
  </si>
  <si>
    <t>Our primary objective was to assess healthcare cost and utilization changes for participants of this initiative.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</si>
</sst>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1" fillId="3" fontId="2" numFmtId="0" xfId="0" applyAlignment="1" applyBorder="1" applyFill="1" applyFont="1">
      <alignment readingOrder="0" shrinkToFit="0" vertical="top" wrapText="1"/>
    </xf>
    <xf borderId="1" fillId="3"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2"/>
    </row>
    <row r="3">
      <c r="A3" s="1" t="s">
        <v>1</v>
      </c>
    </row>
    <row r="4">
      <c r="A4" s="2" t="s">
        <v>2</v>
      </c>
    </row>
    <row r="5">
      <c r="A5" s="2" t="s">
        <v>3</v>
      </c>
    </row>
    <row r="6">
      <c r="A6" s="2" t="s">
        <v>4</v>
      </c>
    </row>
    <row r="7">
      <c r="A7" s="2" t="s">
        <v>5</v>
      </c>
    </row>
    <row r="8">
      <c r="A8" s="3" t="s">
        <v>6</v>
      </c>
    </row>
    <row r="9">
      <c r="A9" s="2"/>
    </row>
    <row r="10">
      <c r="A10" s="1" t="s">
        <v>7</v>
      </c>
    </row>
    <row r="11">
      <c r="A11" s="2" t="s">
        <v>8</v>
      </c>
    </row>
    <row r="12">
      <c r="A12" s="2" t="s">
        <v>9</v>
      </c>
    </row>
    <row r="13">
      <c r="A13" s="2" t="s">
        <v>10</v>
      </c>
    </row>
    <row r="14">
      <c r="A14" s="2" t="s">
        <v>11</v>
      </c>
    </row>
    <row r="15">
      <c r="A15" s="2"/>
    </row>
    <row r="16">
      <c r="A16" s="1" t="s">
        <v>12</v>
      </c>
    </row>
    <row r="17">
      <c r="A17" s="2" t="s">
        <v>13</v>
      </c>
    </row>
    <row r="18">
      <c r="A18" s="2" t="s">
        <v>14</v>
      </c>
    </row>
    <row r="19">
      <c r="A19" s="2"/>
    </row>
    <row r="20">
      <c r="A20" s="1" t="s">
        <v>15</v>
      </c>
    </row>
    <row r="21" ht="15.75" customHeight="1">
      <c r="A21" s="2" t="s">
        <v>16</v>
      </c>
      <c r="B21" s="2">
        <f>ROWS(Labels!F2:F131)</f>
        <v>130</v>
      </c>
    </row>
    <row r="22" ht="15.75" customHeight="1">
      <c r="A22" s="2" t="s">
        <v>28</v>
      </c>
      <c r="B22" s="2">
        <f>COUNTIF(Labels!F2:F131,"CLAIM")</f>
        <v>24</v>
      </c>
    </row>
    <row r="23" ht="15.75" customHeight="1">
      <c r="A23" s="2" t="s">
        <v>30</v>
      </c>
      <c r="B23" s="2">
        <f>COUNTIF(Labels!F2:F131,"BACKGROUND")</f>
        <v>106</v>
      </c>
    </row>
    <row r="24" ht="15.75" customHeight="1">
      <c r="A24" s="2" t="s">
        <v>33</v>
      </c>
      <c r="B24" s="2">
        <f>COUNTBLANK(Labels!F2:F131)</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3.0"/>
    <col customWidth="1" min="3" max="3" width="11.0"/>
    <col customWidth="1" min="4" max="4" width="20.0"/>
    <col customWidth="1" min="5" max="5" width="90.0"/>
    <col customWidth="1" min="6" max="6" width="14.0"/>
    <col customWidth="1" min="7" max="7" width="40.0"/>
    <col customWidth="1" min="8" max="26" width="8.71"/>
  </cols>
  <sheetData>
    <row r="1">
      <c r="A1" s="4" t="s">
        <v>17</v>
      </c>
      <c r="B1" s="4" t="s">
        <v>18</v>
      </c>
      <c r="C1" s="4" t="s">
        <v>19</v>
      </c>
      <c r="D1" s="4" t="s">
        <v>20</v>
      </c>
      <c r="E1" s="4" t="s">
        <v>21</v>
      </c>
      <c r="F1" s="4" t="s">
        <v>22</v>
      </c>
      <c r="G1" s="4" t="s">
        <v>23</v>
      </c>
    </row>
    <row r="2">
      <c r="A2" s="5" t="s">
        <v>24</v>
      </c>
      <c r="B2" s="5" t="s">
        <v>25</v>
      </c>
      <c r="C2" s="5" t="s">
        <v>26</v>
      </c>
      <c r="D2" s="5" t="s">
        <v>27</v>
      </c>
      <c r="E2" s="5" t="s">
        <v>29</v>
      </c>
      <c r="F2" s="6" t="s">
        <v>30</v>
      </c>
      <c r="G2" s="7"/>
    </row>
    <row r="3">
      <c r="A3" s="5" t="s">
        <v>24</v>
      </c>
      <c r="B3" s="5" t="s">
        <v>25</v>
      </c>
      <c r="C3" s="5" t="s">
        <v>31</v>
      </c>
      <c r="D3" s="5" t="s">
        <v>27</v>
      </c>
      <c r="E3" s="5" t="s">
        <v>32</v>
      </c>
      <c r="F3" s="6" t="s">
        <v>30</v>
      </c>
      <c r="G3" s="6" t="s">
        <v>34</v>
      </c>
    </row>
    <row r="4">
      <c r="A4" s="5" t="s">
        <v>24</v>
      </c>
      <c r="B4" s="5" t="s">
        <v>25</v>
      </c>
      <c r="C4" s="5" t="s">
        <v>35</v>
      </c>
      <c r="D4" s="5" t="s">
        <v>36</v>
      </c>
      <c r="E4" s="5" t="s">
        <v>37</v>
      </c>
      <c r="F4" s="6" t="s">
        <v>30</v>
      </c>
      <c r="G4" s="7"/>
    </row>
    <row r="5">
      <c r="A5" s="5" t="s">
        <v>24</v>
      </c>
      <c r="B5" s="5" t="s">
        <v>25</v>
      </c>
      <c r="C5" s="5" t="s">
        <v>38</v>
      </c>
      <c r="D5" s="5" t="s">
        <v>40</v>
      </c>
      <c r="E5" s="5" t="s">
        <v>41</v>
      </c>
      <c r="F5" s="6" t="s">
        <v>30</v>
      </c>
      <c r="G5" s="7"/>
    </row>
    <row r="6">
      <c r="A6" s="5" t="s">
        <v>24</v>
      </c>
      <c r="B6" s="5" t="s">
        <v>25</v>
      </c>
      <c r="C6" s="5" t="s">
        <v>44</v>
      </c>
      <c r="D6" s="5" t="s">
        <v>40</v>
      </c>
      <c r="E6" s="5" t="s">
        <v>45</v>
      </c>
      <c r="F6" s="6" t="s">
        <v>30</v>
      </c>
      <c r="G6" s="7"/>
    </row>
    <row r="7">
      <c r="A7" s="5" t="s">
        <v>24</v>
      </c>
      <c r="B7" s="5" t="s">
        <v>25</v>
      </c>
      <c r="C7" s="5" t="s">
        <v>47</v>
      </c>
      <c r="D7" s="5" t="s">
        <v>40</v>
      </c>
      <c r="E7" s="5" t="s">
        <v>49</v>
      </c>
      <c r="F7" s="6" t="s">
        <v>30</v>
      </c>
      <c r="G7" s="7"/>
    </row>
    <row r="8">
      <c r="A8" s="5" t="s">
        <v>24</v>
      </c>
      <c r="B8" s="5" t="s">
        <v>25</v>
      </c>
      <c r="C8" s="5" t="s">
        <v>54</v>
      </c>
      <c r="D8" s="5" t="s">
        <v>40</v>
      </c>
      <c r="E8" s="5" t="s">
        <v>56</v>
      </c>
      <c r="F8" s="6" t="s">
        <v>30</v>
      </c>
      <c r="G8" s="7"/>
    </row>
    <row r="9">
      <c r="A9" s="5" t="s">
        <v>24</v>
      </c>
      <c r="B9" s="5" t="s">
        <v>25</v>
      </c>
      <c r="C9" s="5" t="s">
        <v>60</v>
      </c>
      <c r="D9" s="5" t="s">
        <v>40</v>
      </c>
      <c r="E9" s="5" t="s">
        <v>63</v>
      </c>
      <c r="F9" s="6" t="s">
        <v>30</v>
      </c>
      <c r="G9" s="7"/>
    </row>
    <row r="10">
      <c r="A10" s="5" t="s">
        <v>24</v>
      </c>
      <c r="B10" s="5" t="s">
        <v>25</v>
      </c>
      <c r="C10" s="5" t="s">
        <v>66</v>
      </c>
      <c r="D10" s="5" t="s">
        <v>40</v>
      </c>
      <c r="E10" s="5" t="s">
        <v>67</v>
      </c>
      <c r="F10" s="6" t="s">
        <v>30</v>
      </c>
      <c r="G10" s="7"/>
    </row>
    <row r="11">
      <c r="A11" s="5" t="s">
        <v>24</v>
      </c>
      <c r="B11" s="5" t="s">
        <v>25</v>
      </c>
      <c r="C11" s="5" t="s">
        <v>68</v>
      </c>
      <c r="D11" s="5" t="s">
        <v>69</v>
      </c>
      <c r="E11" s="5" t="s">
        <v>70</v>
      </c>
      <c r="F11" s="6" t="s">
        <v>30</v>
      </c>
      <c r="G11" s="7"/>
    </row>
    <row r="12">
      <c r="A12" s="5" t="s">
        <v>24</v>
      </c>
      <c r="B12" s="5" t="s">
        <v>25</v>
      </c>
      <c r="C12" s="5" t="s">
        <v>71</v>
      </c>
      <c r="D12" s="5" t="s">
        <v>69</v>
      </c>
      <c r="E12" s="5" t="s">
        <v>72</v>
      </c>
      <c r="F12" s="6" t="s">
        <v>28</v>
      </c>
      <c r="G12" s="7"/>
    </row>
    <row r="13">
      <c r="A13" s="5" t="s">
        <v>24</v>
      </c>
      <c r="B13" s="5" t="s">
        <v>25</v>
      </c>
      <c r="C13" s="5" t="s">
        <v>73</v>
      </c>
      <c r="D13" s="5" t="s">
        <v>69</v>
      </c>
      <c r="E13" s="5" t="s">
        <v>74</v>
      </c>
      <c r="F13" s="6" t="s">
        <v>28</v>
      </c>
      <c r="G13" s="7"/>
    </row>
    <row r="14">
      <c r="A14" s="5" t="s">
        <v>24</v>
      </c>
      <c r="B14" s="5" t="s">
        <v>25</v>
      </c>
      <c r="C14" s="5" t="s">
        <v>75</v>
      </c>
      <c r="D14" s="5" t="s">
        <v>69</v>
      </c>
      <c r="E14" s="5" t="s">
        <v>76</v>
      </c>
      <c r="F14" s="6" t="s">
        <v>28</v>
      </c>
      <c r="G14" s="7"/>
    </row>
    <row r="15">
      <c r="A15" s="5" t="s">
        <v>24</v>
      </c>
      <c r="B15" s="5" t="s">
        <v>25</v>
      </c>
      <c r="C15" s="5" t="s">
        <v>77</v>
      </c>
      <c r="D15" s="5" t="s">
        <v>69</v>
      </c>
      <c r="E15" s="5" t="s">
        <v>78</v>
      </c>
      <c r="F15" s="6" t="s">
        <v>28</v>
      </c>
      <c r="G15" s="7"/>
    </row>
    <row r="16">
      <c r="A16" s="5" t="s">
        <v>24</v>
      </c>
      <c r="B16" s="5" t="s">
        <v>25</v>
      </c>
      <c r="C16" s="5" t="s">
        <v>79</v>
      </c>
      <c r="D16" s="5" t="s">
        <v>80</v>
      </c>
      <c r="E16" s="5" t="s">
        <v>81</v>
      </c>
      <c r="F16" s="6" t="s">
        <v>28</v>
      </c>
      <c r="G16" s="7"/>
    </row>
    <row r="17">
      <c r="A17" s="5" t="s">
        <v>24</v>
      </c>
      <c r="B17" s="5" t="s">
        <v>25</v>
      </c>
      <c r="C17" s="5" t="s">
        <v>82</v>
      </c>
      <c r="D17" s="5" t="s">
        <v>80</v>
      </c>
      <c r="E17" s="5" t="s">
        <v>83</v>
      </c>
      <c r="F17" s="6" t="s">
        <v>28</v>
      </c>
      <c r="G17" s="7"/>
    </row>
    <row r="18">
      <c r="A18" s="5" t="s">
        <v>24</v>
      </c>
      <c r="B18" s="5" t="s">
        <v>25</v>
      </c>
      <c r="C18" s="5" t="s">
        <v>84</v>
      </c>
      <c r="D18" s="5" t="s">
        <v>85</v>
      </c>
      <c r="E18" s="5" t="s">
        <v>86</v>
      </c>
      <c r="F18" s="6" t="s">
        <v>30</v>
      </c>
      <c r="G18" s="7"/>
    </row>
    <row r="19">
      <c r="A19" s="5" t="s">
        <v>24</v>
      </c>
      <c r="B19" s="5" t="s">
        <v>25</v>
      </c>
      <c r="C19" s="5" t="s">
        <v>87</v>
      </c>
      <c r="D19" s="5" t="s">
        <v>85</v>
      </c>
      <c r="E19" s="5" t="s">
        <v>88</v>
      </c>
      <c r="F19" s="6" t="s">
        <v>30</v>
      </c>
      <c r="G19" s="6" t="s">
        <v>89</v>
      </c>
    </row>
    <row r="20">
      <c r="A20" s="5" t="s">
        <v>24</v>
      </c>
      <c r="B20" s="5" t="s">
        <v>25</v>
      </c>
      <c r="C20" s="5" t="s">
        <v>90</v>
      </c>
      <c r="D20" s="5" t="s">
        <v>85</v>
      </c>
      <c r="E20" s="5" t="s">
        <v>91</v>
      </c>
      <c r="F20" s="6" t="s">
        <v>30</v>
      </c>
      <c r="G20" s="7"/>
    </row>
    <row r="21" ht="15.75" customHeight="1">
      <c r="A21" s="5" t="s">
        <v>24</v>
      </c>
      <c r="B21" s="5" t="s">
        <v>25</v>
      </c>
      <c r="C21" s="5" t="s">
        <v>92</v>
      </c>
      <c r="D21" s="5" t="s">
        <v>85</v>
      </c>
      <c r="E21" s="5" t="s">
        <v>93</v>
      </c>
      <c r="F21" s="6" t="s">
        <v>30</v>
      </c>
      <c r="G21" s="7"/>
    </row>
    <row r="22" ht="15.75" customHeight="1">
      <c r="A22" s="5" t="s">
        <v>24</v>
      </c>
      <c r="B22" s="5" t="s">
        <v>25</v>
      </c>
      <c r="C22" s="5" t="s">
        <v>94</v>
      </c>
      <c r="D22" s="5" t="s">
        <v>85</v>
      </c>
      <c r="E22" s="5" t="s">
        <v>95</v>
      </c>
      <c r="F22" s="6" t="s">
        <v>30</v>
      </c>
      <c r="G22" s="7"/>
    </row>
    <row r="23" ht="15.75" customHeight="1">
      <c r="A23" s="5" t="s">
        <v>24</v>
      </c>
      <c r="B23" s="5" t="s">
        <v>25</v>
      </c>
      <c r="C23" s="5" t="s">
        <v>96</v>
      </c>
      <c r="D23" s="5" t="s">
        <v>85</v>
      </c>
      <c r="E23" s="5" t="s">
        <v>97</v>
      </c>
      <c r="F23" s="6" t="s">
        <v>30</v>
      </c>
      <c r="G23" s="7"/>
    </row>
    <row r="24" ht="15.75" customHeight="1">
      <c r="A24" s="5" t="s">
        <v>24</v>
      </c>
      <c r="B24" s="5" t="s">
        <v>25</v>
      </c>
      <c r="C24" s="5" t="s">
        <v>98</v>
      </c>
      <c r="D24" s="5" t="s">
        <v>85</v>
      </c>
      <c r="E24" s="5" t="s">
        <v>99</v>
      </c>
      <c r="F24" s="6" t="s">
        <v>30</v>
      </c>
      <c r="G24" s="7"/>
    </row>
    <row r="25" ht="15.75" customHeight="1">
      <c r="A25" s="5" t="s">
        <v>24</v>
      </c>
      <c r="B25" s="5" t="s">
        <v>25</v>
      </c>
      <c r="C25" s="5" t="s">
        <v>100</v>
      </c>
      <c r="D25" s="5" t="s">
        <v>85</v>
      </c>
      <c r="E25" s="5" t="s">
        <v>101</v>
      </c>
      <c r="F25" s="6" t="s">
        <v>30</v>
      </c>
      <c r="G25" s="7"/>
    </row>
    <row r="26" ht="15.75" customHeight="1">
      <c r="A26" s="5" t="s">
        <v>24</v>
      </c>
      <c r="B26" s="5" t="s">
        <v>25</v>
      </c>
      <c r="C26" s="5" t="s">
        <v>102</v>
      </c>
      <c r="D26" s="5" t="s">
        <v>85</v>
      </c>
      <c r="E26" s="5" t="s">
        <v>103</v>
      </c>
      <c r="F26" s="6" t="s">
        <v>30</v>
      </c>
      <c r="G26" s="7"/>
    </row>
    <row r="27" ht="15.75" customHeight="1">
      <c r="A27" s="5" t="s">
        <v>24</v>
      </c>
      <c r="B27" s="5" t="s">
        <v>25</v>
      </c>
      <c r="C27" s="5" t="s">
        <v>104</v>
      </c>
      <c r="D27" s="5" t="s">
        <v>85</v>
      </c>
      <c r="E27" s="5" t="s">
        <v>105</v>
      </c>
      <c r="F27" s="6" t="s">
        <v>28</v>
      </c>
      <c r="G27" s="7"/>
    </row>
    <row r="28" ht="15.75" customHeight="1">
      <c r="A28" s="5" t="s">
        <v>24</v>
      </c>
      <c r="B28" s="5" t="s">
        <v>25</v>
      </c>
      <c r="C28" s="5" t="s">
        <v>106</v>
      </c>
      <c r="D28" s="5" t="s">
        <v>85</v>
      </c>
      <c r="E28" s="5" t="s">
        <v>107</v>
      </c>
      <c r="F28" s="6" t="s">
        <v>30</v>
      </c>
      <c r="G28" s="7"/>
    </row>
    <row r="29" ht="15.75" customHeight="1">
      <c r="A29" s="5" t="s">
        <v>24</v>
      </c>
      <c r="B29" s="5" t="s">
        <v>25</v>
      </c>
      <c r="C29" s="5" t="s">
        <v>108</v>
      </c>
      <c r="D29" s="5" t="s">
        <v>85</v>
      </c>
      <c r="E29" s="5" t="s">
        <v>109</v>
      </c>
      <c r="F29" s="6" t="s">
        <v>30</v>
      </c>
      <c r="G29" s="7"/>
    </row>
    <row r="30" ht="15.75" customHeight="1">
      <c r="A30" s="5" t="s">
        <v>24</v>
      </c>
      <c r="B30" s="5" t="s">
        <v>25</v>
      </c>
      <c r="C30" s="5" t="s">
        <v>110</v>
      </c>
      <c r="D30" s="5" t="s">
        <v>85</v>
      </c>
      <c r="E30" s="5" t="s">
        <v>111</v>
      </c>
      <c r="F30" s="6" t="s">
        <v>30</v>
      </c>
      <c r="G30" s="7"/>
    </row>
    <row r="31" ht="15.75" customHeight="1">
      <c r="A31" s="5" t="s">
        <v>24</v>
      </c>
      <c r="B31" s="5" t="s">
        <v>25</v>
      </c>
      <c r="C31" s="5" t="s">
        <v>112</v>
      </c>
      <c r="D31" s="5" t="s">
        <v>85</v>
      </c>
      <c r="E31" s="5" t="s">
        <v>113</v>
      </c>
      <c r="F31" s="6" t="s">
        <v>30</v>
      </c>
      <c r="G31" s="7"/>
    </row>
    <row r="32" ht="15.75" customHeight="1">
      <c r="A32" s="5" t="s">
        <v>24</v>
      </c>
      <c r="B32" s="5" t="s">
        <v>25</v>
      </c>
      <c r="C32" s="5" t="s">
        <v>114</v>
      </c>
      <c r="D32" s="5" t="s">
        <v>85</v>
      </c>
      <c r="E32" s="5" t="s">
        <v>115</v>
      </c>
      <c r="F32" s="6" t="s">
        <v>30</v>
      </c>
      <c r="G32" s="7"/>
    </row>
    <row r="33" ht="15.75" customHeight="1">
      <c r="A33" s="5" t="s">
        <v>24</v>
      </c>
      <c r="B33" s="5" t="s">
        <v>25</v>
      </c>
      <c r="C33" s="5" t="s">
        <v>116</v>
      </c>
      <c r="D33" s="5" t="s">
        <v>85</v>
      </c>
      <c r="E33" s="5" t="s">
        <v>117</v>
      </c>
      <c r="F33" s="6" t="s">
        <v>30</v>
      </c>
      <c r="G33" s="7"/>
    </row>
    <row r="34" ht="15.75" customHeight="1">
      <c r="A34" s="5" t="s">
        <v>24</v>
      </c>
      <c r="B34" s="5" t="s">
        <v>25</v>
      </c>
      <c r="C34" s="5" t="s">
        <v>118</v>
      </c>
      <c r="D34" s="5" t="s">
        <v>85</v>
      </c>
      <c r="E34" s="5" t="s">
        <v>119</v>
      </c>
      <c r="F34" s="6" t="s">
        <v>30</v>
      </c>
      <c r="G34" s="7"/>
    </row>
    <row r="35" ht="15.75" customHeight="1">
      <c r="A35" s="5" t="s">
        <v>24</v>
      </c>
      <c r="B35" s="5" t="s">
        <v>25</v>
      </c>
      <c r="C35" s="5" t="s">
        <v>120</v>
      </c>
      <c r="D35" s="5" t="s">
        <v>85</v>
      </c>
      <c r="E35" s="5" t="s">
        <v>121</v>
      </c>
      <c r="F35" s="6" t="s">
        <v>30</v>
      </c>
      <c r="G35" s="7"/>
    </row>
    <row r="36" ht="15.75" customHeight="1">
      <c r="A36" s="5" t="s">
        <v>24</v>
      </c>
      <c r="B36" s="5" t="s">
        <v>25</v>
      </c>
      <c r="C36" s="5" t="s">
        <v>122</v>
      </c>
      <c r="D36" s="5" t="s">
        <v>85</v>
      </c>
      <c r="E36" s="5" t="s">
        <v>123</v>
      </c>
      <c r="F36" s="6" t="s">
        <v>30</v>
      </c>
      <c r="G36" s="7"/>
    </row>
    <row r="37" ht="15.75" customHeight="1">
      <c r="A37" s="5" t="s">
        <v>24</v>
      </c>
      <c r="B37" s="5" t="s">
        <v>25</v>
      </c>
      <c r="C37" s="5" t="s">
        <v>124</v>
      </c>
      <c r="D37" s="5" t="s">
        <v>85</v>
      </c>
      <c r="E37" s="5" t="s">
        <v>125</v>
      </c>
      <c r="F37" s="6" t="s">
        <v>30</v>
      </c>
      <c r="G37" s="7"/>
    </row>
    <row r="38" ht="15.75" customHeight="1">
      <c r="A38" s="5" t="s">
        <v>24</v>
      </c>
      <c r="B38" s="5" t="s">
        <v>25</v>
      </c>
      <c r="C38" s="5" t="s">
        <v>126</v>
      </c>
      <c r="D38" s="5" t="s">
        <v>85</v>
      </c>
      <c r="E38" s="5" t="s">
        <v>127</v>
      </c>
      <c r="F38" s="6" t="s">
        <v>30</v>
      </c>
      <c r="G38" s="7"/>
    </row>
    <row r="39" ht="15.75" customHeight="1">
      <c r="A39" s="5" t="s">
        <v>24</v>
      </c>
      <c r="B39" s="5" t="s">
        <v>25</v>
      </c>
      <c r="C39" s="5" t="s">
        <v>128</v>
      </c>
      <c r="D39" s="5" t="s">
        <v>85</v>
      </c>
      <c r="E39" s="5" t="s">
        <v>129</v>
      </c>
      <c r="F39" s="6" t="s">
        <v>30</v>
      </c>
      <c r="G39" s="7"/>
    </row>
    <row r="40" ht="15.75" customHeight="1">
      <c r="A40" s="5" t="s">
        <v>24</v>
      </c>
      <c r="B40" s="5" t="s">
        <v>25</v>
      </c>
      <c r="C40" s="5" t="s">
        <v>130</v>
      </c>
      <c r="D40" s="5" t="s">
        <v>85</v>
      </c>
      <c r="E40" s="5" t="s">
        <v>131</v>
      </c>
      <c r="F40" s="6" t="s">
        <v>30</v>
      </c>
      <c r="G40" s="7"/>
    </row>
    <row r="41" ht="15.75" customHeight="1">
      <c r="A41" s="5" t="s">
        <v>24</v>
      </c>
      <c r="B41" s="5" t="s">
        <v>25</v>
      </c>
      <c r="C41" s="5" t="s">
        <v>132</v>
      </c>
      <c r="D41" s="5" t="s">
        <v>85</v>
      </c>
      <c r="E41" s="5" t="s">
        <v>133</v>
      </c>
      <c r="F41" s="6" t="s">
        <v>30</v>
      </c>
      <c r="G41" s="7"/>
    </row>
    <row r="42" ht="15.75" customHeight="1">
      <c r="A42" s="5" t="s">
        <v>24</v>
      </c>
      <c r="B42" s="5" t="s">
        <v>25</v>
      </c>
      <c r="C42" s="5" t="s">
        <v>134</v>
      </c>
      <c r="D42" s="5" t="s">
        <v>85</v>
      </c>
      <c r="E42" s="5" t="s">
        <v>135</v>
      </c>
      <c r="F42" s="6" t="s">
        <v>30</v>
      </c>
      <c r="G42" s="7"/>
    </row>
    <row r="43" ht="15.75" customHeight="1">
      <c r="A43" s="5" t="s">
        <v>24</v>
      </c>
      <c r="B43" s="5" t="s">
        <v>25</v>
      </c>
      <c r="C43" s="5" t="s">
        <v>136</v>
      </c>
      <c r="D43" s="5" t="s">
        <v>85</v>
      </c>
      <c r="E43" s="5" t="s">
        <v>137</v>
      </c>
      <c r="F43" s="6" t="s">
        <v>30</v>
      </c>
      <c r="G43" s="7"/>
    </row>
    <row r="44" ht="15.75" customHeight="1">
      <c r="A44" s="5" t="s">
        <v>24</v>
      </c>
      <c r="B44" s="5" t="s">
        <v>25</v>
      </c>
      <c r="C44" s="5" t="s">
        <v>138</v>
      </c>
      <c r="D44" s="5" t="s">
        <v>85</v>
      </c>
      <c r="E44" s="5" t="s">
        <v>139</v>
      </c>
      <c r="F44" s="6" t="s">
        <v>30</v>
      </c>
      <c r="G44" s="7"/>
    </row>
    <row r="45" ht="15.75" customHeight="1">
      <c r="A45" s="5" t="s">
        <v>24</v>
      </c>
      <c r="B45" s="5" t="s">
        <v>25</v>
      </c>
      <c r="C45" s="5" t="s">
        <v>140</v>
      </c>
      <c r="D45" s="5" t="s">
        <v>85</v>
      </c>
      <c r="E45" s="5" t="s">
        <v>141</v>
      </c>
      <c r="F45" s="6" t="s">
        <v>30</v>
      </c>
      <c r="G45" s="6" t="s">
        <v>142</v>
      </c>
    </row>
    <row r="46" ht="15.75" customHeight="1">
      <c r="A46" s="5" t="s">
        <v>51</v>
      </c>
      <c r="B46" s="5" t="s">
        <v>50</v>
      </c>
      <c r="C46" s="5" t="s">
        <v>26</v>
      </c>
      <c r="D46" s="5" t="s">
        <v>27</v>
      </c>
      <c r="E46" s="5" t="s">
        <v>143</v>
      </c>
      <c r="F46" s="6" t="s">
        <v>30</v>
      </c>
      <c r="G46" s="7"/>
    </row>
    <row r="47" ht="15.75" customHeight="1">
      <c r="A47" s="5" t="s">
        <v>51</v>
      </c>
      <c r="B47" s="5" t="s">
        <v>50</v>
      </c>
      <c r="C47" s="5" t="s">
        <v>31</v>
      </c>
      <c r="D47" s="5" t="s">
        <v>27</v>
      </c>
      <c r="E47" s="5" t="s">
        <v>144</v>
      </c>
      <c r="F47" s="6" t="s">
        <v>30</v>
      </c>
      <c r="G47" s="7"/>
    </row>
    <row r="48" ht="15.75" customHeight="1">
      <c r="A48" s="5" t="s">
        <v>51</v>
      </c>
      <c r="B48" s="5" t="s">
        <v>50</v>
      </c>
      <c r="C48" s="5" t="s">
        <v>35</v>
      </c>
      <c r="D48" s="5" t="s">
        <v>36</v>
      </c>
      <c r="E48" s="5" t="s">
        <v>145</v>
      </c>
      <c r="F48" s="6" t="s">
        <v>30</v>
      </c>
      <c r="G48" s="6" t="s">
        <v>146</v>
      </c>
    </row>
    <row r="49" ht="15.75" customHeight="1">
      <c r="A49" s="5" t="s">
        <v>51</v>
      </c>
      <c r="B49" s="5" t="s">
        <v>50</v>
      </c>
      <c r="C49" s="5" t="s">
        <v>38</v>
      </c>
      <c r="D49" s="5" t="s">
        <v>40</v>
      </c>
      <c r="E49" s="5" t="s">
        <v>147</v>
      </c>
      <c r="F49" s="6" t="s">
        <v>30</v>
      </c>
      <c r="G49" s="7"/>
    </row>
    <row r="50" ht="15.75" customHeight="1">
      <c r="A50" s="5" t="s">
        <v>51</v>
      </c>
      <c r="B50" s="5" t="s">
        <v>50</v>
      </c>
      <c r="C50" s="5" t="s">
        <v>44</v>
      </c>
      <c r="D50" s="5" t="s">
        <v>40</v>
      </c>
      <c r="E50" s="5" t="s">
        <v>148</v>
      </c>
      <c r="F50" s="6" t="s">
        <v>30</v>
      </c>
      <c r="G50" s="7"/>
    </row>
    <row r="51" ht="15.75" customHeight="1">
      <c r="A51" s="5" t="s">
        <v>51</v>
      </c>
      <c r="B51" s="5" t="s">
        <v>50</v>
      </c>
      <c r="C51" s="5" t="s">
        <v>47</v>
      </c>
      <c r="D51" s="5" t="s">
        <v>40</v>
      </c>
      <c r="E51" s="5" t="s">
        <v>149</v>
      </c>
      <c r="F51" s="6" t="s">
        <v>30</v>
      </c>
      <c r="G51" s="7"/>
    </row>
    <row r="52" ht="15.75" customHeight="1">
      <c r="A52" s="5" t="s">
        <v>51</v>
      </c>
      <c r="B52" s="5" t="s">
        <v>50</v>
      </c>
      <c r="C52" s="5" t="s">
        <v>54</v>
      </c>
      <c r="D52" s="5" t="s">
        <v>40</v>
      </c>
      <c r="E52" s="5" t="s">
        <v>150</v>
      </c>
      <c r="F52" s="6" t="s">
        <v>30</v>
      </c>
      <c r="G52" s="7"/>
    </row>
    <row r="53" ht="15.75" customHeight="1">
      <c r="A53" s="5" t="s">
        <v>51</v>
      </c>
      <c r="B53" s="5" t="s">
        <v>50</v>
      </c>
      <c r="C53" s="5" t="s">
        <v>60</v>
      </c>
      <c r="D53" s="5" t="s">
        <v>40</v>
      </c>
      <c r="E53" s="5" t="s">
        <v>151</v>
      </c>
      <c r="F53" s="6" t="s">
        <v>30</v>
      </c>
      <c r="G53" s="7"/>
    </row>
    <row r="54" ht="15.75" customHeight="1">
      <c r="A54" s="5" t="s">
        <v>51</v>
      </c>
      <c r="B54" s="5" t="s">
        <v>50</v>
      </c>
      <c r="C54" s="5" t="s">
        <v>66</v>
      </c>
      <c r="D54" s="5" t="s">
        <v>40</v>
      </c>
      <c r="E54" s="5" t="s">
        <v>152</v>
      </c>
      <c r="F54" s="6" t="s">
        <v>30</v>
      </c>
      <c r="G54" s="7"/>
    </row>
    <row r="55" ht="15.75" customHeight="1">
      <c r="A55" s="5" t="s">
        <v>51</v>
      </c>
      <c r="B55" s="5" t="s">
        <v>50</v>
      </c>
      <c r="C55" s="5" t="s">
        <v>68</v>
      </c>
      <c r="D55" s="5" t="s">
        <v>40</v>
      </c>
      <c r="E55" s="5" t="s">
        <v>153</v>
      </c>
      <c r="F55" s="6" t="s">
        <v>30</v>
      </c>
      <c r="G55" s="7"/>
    </row>
    <row r="56" ht="15.75" customHeight="1">
      <c r="A56" s="5" t="s">
        <v>51</v>
      </c>
      <c r="B56" s="5" t="s">
        <v>50</v>
      </c>
      <c r="C56" s="5" t="s">
        <v>71</v>
      </c>
      <c r="D56" s="5" t="s">
        <v>69</v>
      </c>
      <c r="E56" s="5" t="s">
        <v>154</v>
      </c>
      <c r="F56" s="6" t="s">
        <v>28</v>
      </c>
      <c r="G56" s="7"/>
    </row>
    <row r="57" ht="15.75" customHeight="1">
      <c r="A57" s="5" t="s">
        <v>51</v>
      </c>
      <c r="B57" s="5" t="s">
        <v>50</v>
      </c>
      <c r="C57" s="5" t="s">
        <v>73</v>
      </c>
      <c r="D57" s="5" t="s">
        <v>69</v>
      </c>
      <c r="E57" s="5" t="s">
        <v>155</v>
      </c>
      <c r="F57" s="6" t="s">
        <v>28</v>
      </c>
      <c r="G57" s="7"/>
    </row>
    <row r="58" ht="15.75" customHeight="1">
      <c r="A58" s="5" t="s">
        <v>51</v>
      </c>
      <c r="B58" s="5" t="s">
        <v>50</v>
      </c>
      <c r="C58" s="5" t="s">
        <v>75</v>
      </c>
      <c r="D58" s="5" t="s">
        <v>69</v>
      </c>
      <c r="E58" s="5" t="s">
        <v>156</v>
      </c>
      <c r="F58" s="6" t="s">
        <v>28</v>
      </c>
      <c r="G58" s="7"/>
    </row>
    <row r="59" ht="15.75" customHeight="1">
      <c r="A59" s="5" t="s">
        <v>51</v>
      </c>
      <c r="B59" s="5" t="s">
        <v>50</v>
      </c>
      <c r="C59" s="5" t="s">
        <v>77</v>
      </c>
      <c r="D59" s="5" t="s">
        <v>69</v>
      </c>
      <c r="E59" s="5" t="s">
        <v>157</v>
      </c>
      <c r="F59" s="6" t="s">
        <v>28</v>
      </c>
      <c r="G59" s="7"/>
    </row>
    <row r="60" ht="15.75" customHeight="1">
      <c r="A60" s="5" t="s">
        <v>51</v>
      </c>
      <c r="B60" s="5" t="s">
        <v>50</v>
      </c>
      <c r="C60" s="5" t="s">
        <v>79</v>
      </c>
      <c r="D60" s="5" t="s">
        <v>80</v>
      </c>
      <c r="E60" s="5" t="s">
        <v>158</v>
      </c>
      <c r="F60" s="6" t="s">
        <v>28</v>
      </c>
      <c r="G60" s="7"/>
    </row>
    <row r="61" ht="15.75" customHeight="1">
      <c r="A61" s="5" t="s">
        <v>51</v>
      </c>
      <c r="B61" s="5" t="s">
        <v>50</v>
      </c>
      <c r="C61" s="5" t="s">
        <v>82</v>
      </c>
      <c r="D61" s="5" t="s">
        <v>80</v>
      </c>
      <c r="E61" s="5" t="s">
        <v>159</v>
      </c>
      <c r="F61" s="6" t="s">
        <v>30</v>
      </c>
      <c r="G61" s="6" t="s">
        <v>160</v>
      </c>
    </row>
    <row r="62" ht="15.75" customHeight="1">
      <c r="A62" s="5" t="s">
        <v>51</v>
      </c>
      <c r="B62" s="5" t="s">
        <v>50</v>
      </c>
      <c r="C62" s="5" t="s">
        <v>84</v>
      </c>
      <c r="D62" s="5" t="s">
        <v>85</v>
      </c>
      <c r="E62" s="5" t="s">
        <v>161</v>
      </c>
      <c r="F62" s="6" t="s">
        <v>30</v>
      </c>
      <c r="G62" s="7"/>
    </row>
    <row r="63" ht="15.75" customHeight="1">
      <c r="A63" s="5" t="s">
        <v>51</v>
      </c>
      <c r="B63" s="5" t="s">
        <v>50</v>
      </c>
      <c r="C63" s="5" t="s">
        <v>87</v>
      </c>
      <c r="D63" s="5" t="s">
        <v>85</v>
      </c>
      <c r="E63" s="5" t="s">
        <v>162</v>
      </c>
      <c r="F63" s="6" t="s">
        <v>30</v>
      </c>
      <c r="G63" s="7"/>
    </row>
    <row r="64" ht="15.75" customHeight="1">
      <c r="A64" s="5" t="s">
        <v>51</v>
      </c>
      <c r="B64" s="5" t="s">
        <v>50</v>
      </c>
      <c r="C64" s="5" t="s">
        <v>90</v>
      </c>
      <c r="D64" s="5" t="s">
        <v>85</v>
      </c>
      <c r="E64" s="5" t="s">
        <v>163</v>
      </c>
      <c r="F64" s="6" t="s">
        <v>30</v>
      </c>
      <c r="G64" s="7"/>
    </row>
    <row r="65" ht="15.75" customHeight="1">
      <c r="A65" s="5" t="s">
        <v>51</v>
      </c>
      <c r="B65" s="5" t="s">
        <v>50</v>
      </c>
      <c r="C65" s="5" t="s">
        <v>92</v>
      </c>
      <c r="D65" s="5" t="s">
        <v>85</v>
      </c>
      <c r="E65" s="5" t="s">
        <v>164</v>
      </c>
      <c r="F65" s="6" t="s">
        <v>30</v>
      </c>
      <c r="G65" s="7"/>
    </row>
    <row r="66" ht="15.75" customHeight="1">
      <c r="A66" s="5" t="s">
        <v>51</v>
      </c>
      <c r="B66" s="5" t="s">
        <v>50</v>
      </c>
      <c r="C66" s="5" t="s">
        <v>94</v>
      </c>
      <c r="D66" s="5" t="s">
        <v>85</v>
      </c>
      <c r="E66" s="5" t="s">
        <v>165</v>
      </c>
      <c r="F66" s="6" t="s">
        <v>30</v>
      </c>
      <c r="G66" s="7"/>
    </row>
    <row r="67" ht="15.75" customHeight="1">
      <c r="A67" s="5" t="s">
        <v>51</v>
      </c>
      <c r="B67" s="5" t="s">
        <v>50</v>
      </c>
      <c r="C67" s="5" t="s">
        <v>96</v>
      </c>
      <c r="D67" s="5" t="s">
        <v>85</v>
      </c>
      <c r="E67" s="5" t="s">
        <v>166</v>
      </c>
      <c r="F67" s="6" t="s">
        <v>30</v>
      </c>
      <c r="G67" s="7"/>
    </row>
    <row r="68" ht="15.75" customHeight="1">
      <c r="A68" s="5" t="s">
        <v>51</v>
      </c>
      <c r="B68" s="5" t="s">
        <v>50</v>
      </c>
      <c r="C68" s="5" t="s">
        <v>98</v>
      </c>
      <c r="D68" s="5" t="s">
        <v>85</v>
      </c>
      <c r="E68" s="5" t="s">
        <v>167</v>
      </c>
      <c r="F68" s="6" t="s">
        <v>30</v>
      </c>
      <c r="G68" s="7"/>
    </row>
    <row r="69" ht="15.75" customHeight="1">
      <c r="A69" s="5" t="s">
        <v>51</v>
      </c>
      <c r="B69" s="5" t="s">
        <v>50</v>
      </c>
      <c r="C69" s="5" t="s">
        <v>100</v>
      </c>
      <c r="D69" s="5" t="s">
        <v>85</v>
      </c>
      <c r="E69" s="5" t="s">
        <v>168</v>
      </c>
      <c r="F69" s="6" t="s">
        <v>30</v>
      </c>
      <c r="G69" s="7"/>
    </row>
    <row r="70" ht="15.75" customHeight="1">
      <c r="A70" s="5" t="s">
        <v>51</v>
      </c>
      <c r="B70" s="5" t="s">
        <v>50</v>
      </c>
      <c r="C70" s="5" t="s">
        <v>102</v>
      </c>
      <c r="D70" s="5" t="s">
        <v>85</v>
      </c>
      <c r="E70" s="5" t="s">
        <v>169</v>
      </c>
      <c r="F70" s="6" t="s">
        <v>30</v>
      </c>
      <c r="G70" s="7"/>
    </row>
    <row r="71" ht="15.75" customHeight="1">
      <c r="A71" s="5" t="s">
        <v>51</v>
      </c>
      <c r="B71" s="5" t="s">
        <v>50</v>
      </c>
      <c r="C71" s="5" t="s">
        <v>104</v>
      </c>
      <c r="D71" s="5" t="s">
        <v>85</v>
      </c>
      <c r="E71" s="5" t="s">
        <v>170</v>
      </c>
      <c r="F71" s="6" t="s">
        <v>30</v>
      </c>
      <c r="G71" s="7"/>
    </row>
    <row r="72" ht="15.75" customHeight="1">
      <c r="A72" s="5" t="s">
        <v>51</v>
      </c>
      <c r="B72" s="5" t="s">
        <v>50</v>
      </c>
      <c r="C72" s="5" t="s">
        <v>106</v>
      </c>
      <c r="D72" s="5" t="s">
        <v>85</v>
      </c>
      <c r="E72" s="5" t="s">
        <v>171</v>
      </c>
      <c r="F72" s="6" t="s">
        <v>30</v>
      </c>
      <c r="G72" s="7"/>
    </row>
    <row r="73" ht="15.75" customHeight="1">
      <c r="A73" s="5" t="s">
        <v>51</v>
      </c>
      <c r="B73" s="5" t="s">
        <v>50</v>
      </c>
      <c r="C73" s="5" t="s">
        <v>108</v>
      </c>
      <c r="D73" s="5" t="s">
        <v>85</v>
      </c>
      <c r="E73" s="5" t="s">
        <v>172</v>
      </c>
      <c r="F73" s="6" t="s">
        <v>30</v>
      </c>
      <c r="G73" s="7"/>
    </row>
    <row r="74" ht="15.75" customHeight="1">
      <c r="A74" s="5" t="s">
        <v>51</v>
      </c>
      <c r="B74" s="5" t="s">
        <v>50</v>
      </c>
      <c r="C74" s="5" t="s">
        <v>110</v>
      </c>
      <c r="D74" s="5" t="s">
        <v>85</v>
      </c>
      <c r="E74" s="5" t="s">
        <v>173</v>
      </c>
      <c r="F74" s="6" t="s">
        <v>30</v>
      </c>
      <c r="G74" s="7"/>
    </row>
    <row r="75" ht="15.75" customHeight="1">
      <c r="A75" s="5" t="s">
        <v>51</v>
      </c>
      <c r="B75" s="5" t="s">
        <v>50</v>
      </c>
      <c r="C75" s="5" t="s">
        <v>112</v>
      </c>
      <c r="D75" s="5" t="s">
        <v>85</v>
      </c>
      <c r="E75" s="5" t="s">
        <v>174</v>
      </c>
      <c r="F75" s="6" t="s">
        <v>28</v>
      </c>
      <c r="G75" s="6" t="s">
        <v>175</v>
      </c>
    </row>
    <row r="76" ht="15.75" customHeight="1">
      <c r="A76" s="5" t="s">
        <v>51</v>
      </c>
      <c r="B76" s="5" t="s">
        <v>50</v>
      </c>
      <c r="C76" s="5" t="s">
        <v>114</v>
      </c>
      <c r="D76" s="5" t="s">
        <v>85</v>
      </c>
      <c r="E76" s="5" t="s">
        <v>176</v>
      </c>
      <c r="F76" s="6" t="s">
        <v>28</v>
      </c>
      <c r="G76" s="7"/>
    </row>
    <row r="77" ht="15.75" customHeight="1">
      <c r="A77" s="5" t="s">
        <v>51</v>
      </c>
      <c r="B77" s="5" t="s">
        <v>50</v>
      </c>
      <c r="C77" s="5" t="s">
        <v>116</v>
      </c>
      <c r="D77" s="5" t="s">
        <v>85</v>
      </c>
      <c r="E77" s="5" t="s">
        <v>177</v>
      </c>
      <c r="F77" s="6" t="s">
        <v>30</v>
      </c>
      <c r="G77" s="7"/>
    </row>
    <row r="78" ht="15.75" customHeight="1">
      <c r="A78" s="5" t="s">
        <v>51</v>
      </c>
      <c r="B78" s="5" t="s">
        <v>50</v>
      </c>
      <c r="C78" s="5" t="s">
        <v>118</v>
      </c>
      <c r="D78" s="5" t="s">
        <v>85</v>
      </c>
      <c r="E78" s="5" t="s">
        <v>178</v>
      </c>
      <c r="F78" s="6" t="s">
        <v>30</v>
      </c>
      <c r="G78" s="7"/>
    </row>
    <row r="79" ht="15.75" customHeight="1">
      <c r="A79" s="5" t="s">
        <v>51</v>
      </c>
      <c r="B79" s="5" t="s">
        <v>50</v>
      </c>
      <c r="C79" s="5" t="s">
        <v>120</v>
      </c>
      <c r="D79" s="5" t="s">
        <v>85</v>
      </c>
      <c r="E79" s="5" t="s">
        <v>179</v>
      </c>
      <c r="F79" s="6" t="s">
        <v>30</v>
      </c>
      <c r="G79" s="6" t="s">
        <v>180</v>
      </c>
    </row>
    <row r="80" ht="15.75" customHeight="1">
      <c r="A80" s="5" t="s">
        <v>57</v>
      </c>
      <c r="B80" s="5" t="s">
        <v>55</v>
      </c>
      <c r="C80" s="5" t="s">
        <v>26</v>
      </c>
      <c r="D80" s="5" t="s">
        <v>27</v>
      </c>
      <c r="E80" s="5" t="s">
        <v>181</v>
      </c>
      <c r="F80" s="6" t="s">
        <v>30</v>
      </c>
      <c r="G80" s="7"/>
    </row>
    <row r="81" ht="15.75" customHeight="1">
      <c r="A81" s="5" t="s">
        <v>57</v>
      </c>
      <c r="B81" s="5" t="s">
        <v>55</v>
      </c>
      <c r="C81" s="5" t="s">
        <v>31</v>
      </c>
      <c r="D81" s="5" t="s">
        <v>36</v>
      </c>
      <c r="E81" s="5" t="s">
        <v>182</v>
      </c>
      <c r="F81" s="6" t="s">
        <v>30</v>
      </c>
      <c r="G81" s="7"/>
    </row>
    <row r="82" ht="15.75" customHeight="1">
      <c r="A82" s="5" t="s">
        <v>57</v>
      </c>
      <c r="B82" s="5" t="s">
        <v>55</v>
      </c>
      <c r="C82" s="5" t="s">
        <v>35</v>
      </c>
      <c r="D82" s="5" t="s">
        <v>40</v>
      </c>
      <c r="E82" s="5" t="s">
        <v>183</v>
      </c>
      <c r="F82" s="6" t="s">
        <v>30</v>
      </c>
      <c r="G82" s="7"/>
    </row>
    <row r="83" ht="15.75" customHeight="1">
      <c r="A83" s="5" t="s">
        <v>57</v>
      </c>
      <c r="B83" s="5" t="s">
        <v>55</v>
      </c>
      <c r="C83" s="5" t="s">
        <v>38</v>
      </c>
      <c r="D83" s="5" t="s">
        <v>40</v>
      </c>
      <c r="E83" s="5" t="s">
        <v>184</v>
      </c>
      <c r="F83" s="6" t="s">
        <v>30</v>
      </c>
      <c r="G83" s="7"/>
    </row>
    <row r="84" ht="15.75" customHeight="1">
      <c r="A84" s="5" t="s">
        <v>57</v>
      </c>
      <c r="B84" s="5" t="s">
        <v>55</v>
      </c>
      <c r="C84" s="5" t="s">
        <v>44</v>
      </c>
      <c r="D84" s="5" t="s">
        <v>40</v>
      </c>
      <c r="E84" s="5" t="s">
        <v>185</v>
      </c>
      <c r="F84" s="6" t="s">
        <v>30</v>
      </c>
      <c r="G84" s="7"/>
    </row>
    <row r="85" ht="15.75" customHeight="1">
      <c r="A85" s="5" t="s">
        <v>57</v>
      </c>
      <c r="B85" s="5" t="s">
        <v>55</v>
      </c>
      <c r="C85" s="5" t="s">
        <v>47</v>
      </c>
      <c r="D85" s="5" t="s">
        <v>40</v>
      </c>
      <c r="E85" s="5" t="s">
        <v>186</v>
      </c>
      <c r="F85" s="6" t="s">
        <v>30</v>
      </c>
      <c r="G85" s="7"/>
    </row>
    <row r="86" ht="15.75" customHeight="1">
      <c r="A86" s="5" t="s">
        <v>57</v>
      </c>
      <c r="B86" s="5" t="s">
        <v>55</v>
      </c>
      <c r="C86" s="5" t="s">
        <v>54</v>
      </c>
      <c r="D86" s="5" t="s">
        <v>40</v>
      </c>
      <c r="E86" s="5" t="s">
        <v>187</v>
      </c>
      <c r="F86" s="6" t="s">
        <v>30</v>
      </c>
      <c r="G86" s="7"/>
    </row>
    <row r="87" ht="15.75" customHeight="1">
      <c r="A87" s="5" t="s">
        <v>57</v>
      </c>
      <c r="B87" s="5" t="s">
        <v>55</v>
      </c>
      <c r="C87" s="5" t="s">
        <v>60</v>
      </c>
      <c r="D87" s="5" t="s">
        <v>40</v>
      </c>
      <c r="E87" s="5" t="s">
        <v>188</v>
      </c>
      <c r="F87" s="6" t="s">
        <v>30</v>
      </c>
      <c r="G87" s="7"/>
    </row>
    <row r="88" ht="15.75" customHeight="1">
      <c r="A88" s="5" t="s">
        <v>57</v>
      </c>
      <c r="B88" s="5" t="s">
        <v>55</v>
      </c>
      <c r="C88" s="5" t="s">
        <v>66</v>
      </c>
      <c r="D88" s="5" t="s">
        <v>69</v>
      </c>
      <c r="E88" s="5" t="s">
        <v>189</v>
      </c>
      <c r="F88" s="6" t="s">
        <v>30</v>
      </c>
      <c r="G88" s="7"/>
    </row>
    <row r="89" ht="15.75" customHeight="1">
      <c r="A89" s="5" t="s">
        <v>57</v>
      </c>
      <c r="B89" s="5" t="s">
        <v>55</v>
      </c>
      <c r="C89" s="5" t="s">
        <v>68</v>
      </c>
      <c r="D89" s="5" t="s">
        <v>69</v>
      </c>
      <c r="E89" s="5" t="s">
        <v>190</v>
      </c>
      <c r="F89" s="6" t="s">
        <v>28</v>
      </c>
      <c r="G89" s="7"/>
    </row>
    <row r="90" ht="15.75" customHeight="1">
      <c r="A90" s="5" t="s">
        <v>57</v>
      </c>
      <c r="B90" s="5" t="s">
        <v>55</v>
      </c>
      <c r="C90" s="5" t="s">
        <v>71</v>
      </c>
      <c r="D90" s="5" t="s">
        <v>69</v>
      </c>
      <c r="E90" s="5" t="s">
        <v>191</v>
      </c>
      <c r="F90" s="6" t="s">
        <v>28</v>
      </c>
      <c r="G90" s="7"/>
    </row>
    <row r="91" ht="15.75" customHeight="1">
      <c r="A91" s="5" t="s">
        <v>57</v>
      </c>
      <c r="B91" s="5" t="s">
        <v>55</v>
      </c>
      <c r="C91" s="5" t="s">
        <v>73</v>
      </c>
      <c r="D91" s="5" t="s">
        <v>69</v>
      </c>
      <c r="E91" s="5" t="s">
        <v>192</v>
      </c>
      <c r="F91" s="6" t="s">
        <v>28</v>
      </c>
      <c r="G91" s="7"/>
    </row>
    <row r="92" ht="15.75" customHeight="1">
      <c r="A92" s="5" t="s">
        <v>57</v>
      </c>
      <c r="B92" s="5" t="s">
        <v>55</v>
      </c>
      <c r="C92" s="5" t="s">
        <v>75</v>
      </c>
      <c r="D92" s="5" t="s">
        <v>69</v>
      </c>
      <c r="E92" s="5" t="s">
        <v>193</v>
      </c>
      <c r="F92" s="6" t="s">
        <v>28</v>
      </c>
      <c r="G92" s="7"/>
    </row>
    <row r="93" ht="15.75" customHeight="1">
      <c r="A93" s="5" t="s">
        <v>57</v>
      </c>
      <c r="B93" s="5" t="s">
        <v>55</v>
      </c>
      <c r="C93" s="5" t="s">
        <v>77</v>
      </c>
      <c r="D93" s="5" t="s">
        <v>80</v>
      </c>
      <c r="E93" s="5" t="s">
        <v>194</v>
      </c>
      <c r="F93" s="6" t="s">
        <v>28</v>
      </c>
      <c r="G93" s="7"/>
    </row>
    <row r="94" ht="15.75" customHeight="1">
      <c r="A94" s="5" t="s">
        <v>57</v>
      </c>
      <c r="B94" s="5" t="s">
        <v>55</v>
      </c>
      <c r="C94" s="5" t="s">
        <v>79</v>
      </c>
      <c r="D94" s="5" t="s">
        <v>80</v>
      </c>
      <c r="E94" s="5" t="s">
        <v>195</v>
      </c>
      <c r="F94" s="6" t="s">
        <v>28</v>
      </c>
      <c r="G94" s="6" t="s">
        <v>196</v>
      </c>
    </row>
    <row r="95" ht="15.75" customHeight="1">
      <c r="A95" s="5" t="s">
        <v>57</v>
      </c>
      <c r="B95" s="5" t="s">
        <v>55</v>
      </c>
      <c r="C95" s="5" t="s">
        <v>82</v>
      </c>
      <c r="D95" s="5" t="s">
        <v>85</v>
      </c>
      <c r="E95" s="5" t="s">
        <v>197</v>
      </c>
      <c r="F95" s="6" t="s">
        <v>30</v>
      </c>
      <c r="G95" s="7"/>
    </row>
    <row r="96" ht="15.75" customHeight="1">
      <c r="A96" s="5" t="s">
        <v>57</v>
      </c>
      <c r="B96" s="5" t="s">
        <v>55</v>
      </c>
      <c r="C96" s="5" t="s">
        <v>84</v>
      </c>
      <c r="D96" s="5" t="s">
        <v>85</v>
      </c>
      <c r="E96" s="5" t="s">
        <v>198</v>
      </c>
      <c r="F96" s="6" t="s">
        <v>30</v>
      </c>
      <c r="G96" s="7"/>
    </row>
    <row r="97" ht="15.75" customHeight="1">
      <c r="A97" s="5" t="s">
        <v>57</v>
      </c>
      <c r="B97" s="5" t="s">
        <v>55</v>
      </c>
      <c r="C97" s="5" t="s">
        <v>87</v>
      </c>
      <c r="D97" s="5" t="s">
        <v>85</v>
      </c>
      <c r="E97" s="5" t="s">
        <v>199</v>
      </c>
      <c r="F97" s="6" t="s">
        <v>30</v>
      </c>
      <c r="G97" s="7"/>
    </row>
    <row r="98" ht="15.75" customHeight="1">
      <c r="A98" s="5" t="s">
        <v>57</v>
      </c>
      <c r="B98" s="5" t="s">
        <v>55</v>
      </c>
      <c r="C98" s="5" t="s">
        <v>90</v>
      </c>
      <c r="D98" s="5" t="s">
        <v>85</v>
      </c>
      <c r="E98" s="5" t="s">
        <v>200</v>
      </c>
      <c r="F98" s="6" t="s">
        <v>30</v>
      </c>
      <c r="G98" s="7"/>
    </row>
    <row r="99" ht="15.75" customHeight="1">
      <c r="A99" s="5" t="s">
        <v>57</v>
      </c>
      <c r="B99" s="5" t="s">
        <v>55</v>
      </c>
      <c r="C99" s="5" t="s">
        <v>92</v>
      </c>
      <c r="D99" s="5" t="s">
        <v>85</v>
      </c>
      <c r="E99" s="5" t="s">
        <v>201</v>
      </c>
      <c r="F99" s="6" t="s">
        <v>30</v>
      </c>
      <c r="G99" s="7"/>
    </row>
    <row r="100" ht="15.75" customHeight="1">
      <c r="A100" s="5" t="s">
        <v>57</v>
      </c>
      <c r="B100" s="5" t="s">
        <v>55</v>
      </c>
      <c r="C100" s="5" t="s">
        <v>94</v>
      </c>
      <c r="D100" s="5" t="s">
        <v>85</v>
      </c>
      <c r="E100" s="5" t="s">
        <v>202</v>
      </c>
      <c r="F100" s="6" t="s">
        <v>30</v>
      </c>
      <c r="G100" s="7"/>
    </row>
    <row r="101" ht="15.75" customHeight="1">
      <c r="A101" s="5" t="s">
        <v>57</v>
      </c>
      <c r="B101" s="5" t="s">
        <v>55</v>
      </c>
      <c r="C101" s="5" t="s">
        <v>96</v>
      </c>
      <c r="D101" s="5" t="s">
        <v>85</v>
      </c>
      <c r="E101" s="5" t="s">
        <v>203</v>
      </c>
      <c r="F101" s="6" t="s">
        <v>30</v>
      </c>
      <c r="G101" s="6" t="s">
        <v>204</v>
      </c>
    </row>
    <row r="102" ht="15.75" customHeight="1">
      <c r="A102" s="5" t="s">
        <v>57</v>
      </c>
      <c r="B102" s="5" t="s">
        <v>55</v>
      </c>
      <c r="C102" s="5" t="s">
        <v>98</v>
      </c>
      <c r="D102" s="5" t="s">
        <v>85</v>
      </c>
      <c r="E102" s="5" t="s">
        <v>205</v>
      </c>
      <c r="F102" s="6" t="s">
        <v>30</v>
      </c>
      <c r="G102" s="7"/>
    </row>
    <row r="103" ht="15.75" customHeight="1">
      <c r="A103" s="5" t="s">
        <v>57</v>
      </c>
      <c r="B103" s="5" t="s">
        <v>55</v>
      </c>
      <c r="C103" s="5" t="s">
        <v>100</v>
      </c>
      <c r="D103" s="5" t="s">
        <v>85</v>
      </c>
      <c r="E103" s="5" t="s">
        <v>206</v>
      </c>
      <c r="F103" s="6" t="s">
        <v>30</v>
      </c>
      <c r="G103" s="7"/>
    </row>
    <row r="104" ht="15.75" customHeight="1">
      <c r="A104" s="5" t="s">
        <v>57</v>
      </c>
      <c r="B104" s="5" t="s">
        <v>55</v>
      </c>
      <c r="C104" s="5" t="s">
        <v>102</v>
      </c>
      <c r="D104" s="5" t="s">
        <v>85</v>
      </c>
      <c r="E104" s="5" t="s">
        <v>207</v>
      </c>
      <c r="F104" s="6" t="s">
        <v>30</v>
      </c>
      <c r="G104" s="7"/>
    </row>
    <row r="105" ht="15.75" customHeight="1">
      <c r="A105" s="5" t="s">
        <v>57</v>
      </c>
      <c r="B105" s="5" t="s">
        <v>55</v>
      </c>
      <c r="C105" s="5" t="s">
        <v>104</v>
      </c>
      <c r="D105" s="5" t="s">
        <v>85</v>
      </c>
      <c r="E105" s="5" t="s">
        <v>208</v>
      </c>
      <c r="F105" s="6" t="s">
        <v>30</v>
      </c>
      <c r="G105" s="7"/>
    </row>
    <row r="106" ht="15.75" customHeight="1">
      <c r="A106" s="5" t="s">
        <v>57</v>
      </c>
      <c r="B106" s="5" t="s">
        <v>55</v>
      </c>
      <c r="C106" s="5" t="s">
        <v>106</v>
      </c>
      <c r="D106" s="5" t="s">
        <v>85</v>
      </c>
      <c r="E106" s="5" t="s">
        <v>209</v>
      </c>
      <c r="F106" s="6" t="s">
        <v>30</v>
      </c>
      <c r="G106" s="7"/>
    </row>
    <row r="107" ht="15.75" customHeight="1">
      <c r="A107" s="5" t="s">
        <v>57</v>
      </c>
      <c r="B107" s="5" t="s">
        <v>55</v>
      </c>
      <c r="C107" s="5" t="s">
        <v>108</v>
      </c>
      <c r="D107" s="5" t="s">
        <v>85</v>
      </c>
      <c r="E107" s="5" t="s">
        <v>210</v>
      </c>
      <c r="F107" s="6" t="s">
        <v>30</v>
      </c>
      <c r="G107" s="7"/>
    </row>
    <row r="108" ht="15.75" customHeight="1">
      <c r="A108" s="5" t="s">
        <v>57</v>
      </c>
      <c r="B108" s="5" t="s">
        <v>55</v>
      </c>
      <c r="C108" s="5" t="s">
        <v>110</v>
      </c>
      <c r="D108" s="5" t="s">
        <v>85</v>
      </c>
      <c r="E108" s="5" t="s">
        <v>211</v>
      </c>
      <c r="F108" s="6" t="s">
        <v>30</v>
      </c>
      <c r="G108" s="7"/>
    </row>
    <row r="109" ht="15.75" customHeight="1">
      <c r="A109" s="5" t="s">
        <v>62</v>
      </c>
      <c r="B109" s="5" t="s">
        <v>61</v>
      </c>
      <c r="C109" s="5" t="s">
        <v>26</v>
      </c>
      <c r="D109" s="5" t="s">
        <v>36</v>
      </c>
      <c r="E109" s="5" t="s">
        <v>212</v>
      </c>
      <c r="F109" s="6" t="s">
        <v>30</v>
      </c>
      <c r="G109" s="7"/>
    </row>
    <row r="110" ht="15.75" customHeight="1">
      <c r="A110" s="5" t="s">
        <v>62</v>
      </c>
      <c r="B110" s="5" t="s">
        <v>61</v>
      </c>
      <c r="C110" s="5" t="s">
        <v>31</v>
      </c>
      <c r="D110" s="5" t="s">
        <v>40</v>
      </c>
      <c r="E110" s="5" t="s">
        <v>213</v>
      </c>
      <c r="F110" s="6" t="s">
        <v>30</v>
      </c>
      <c r="G110" s="7"/>
    </row>
    <row r="111" ht="15.75" customHeight="1">
      <c r="A111" s="5" t="s">
        <v>62</v>
      </c>
      <c r="B111" s="5" t="s">
        <v>61</v>
      </c>
      <c r="C111" s="5" t="s">
        <v>35</v>
      </c>
      <c r="D111" s="5" t="s">
        <v>40</v>
      </c>
      <c r="E111" s="5" t="s">
        <v>214</v>
      </c>
      <c r="F111" s="6" t="s">
        <v>30</v>
      </c>
      <c r="G111" s="7"/>
    </row>
    <row r="112" ht="15.75" customHeight="1">
      <c r="A112" s="5" t="s">
        <v>62</v>
      </c>
      <c r="B112" s="5" t="s">
        <v>61</v>
      </c>
      <c r="C112" s="5" t="s">
        <v>38</v>
      </c>
      <c r="D112" s="5" t="s">
        <v>40</v>
      </c>
      <c r="E112" s="5" t="s">
        <v>215</v>
      </c>
      <c r="F112" s="6" t="s">
        <v>30</v>
      </c>
      <c r="G112" s="7"/>
    </row>
    <row r="113" ht="15.75" customHeight="1">
      <c r="A113" s="5" t="s">
        <v>62</v>
      </c>
      <c r="B113" s="5" t="s">
        <v>61</v>
      </c>
      <c r="C113" s="5" t="s">
        <v>44</v>
      </c>
      <c r="D113" s="5" t="s">
        <v>40</v>
      </c>
      <c r="E113" s="5" t="s">
        <v>216</v>
      </c>
      <c r="F113" s="6" t="s">
        <v>30</v>
      </c>
      <c r="G113" s="7"/>
    </row>
    <row r="114" ht="15.75" customHeight="1">
      <c r="A114" s="5" t="s">
        <v>62</v>
      </c>
      <c r="B114" s="5" t="s">
        <v>61</v>
      </c>
      <c r="C114" s="5" t="s">
        <v>47</v>
      </c>
      <c r="D114" s="5" t="s">
        <v>69</v>
      </c>
      <c r="E114" s="5" t="s">
        <v>217</v>
      </c>
      <c r="F114" s="6" t="s">
        <v>28</v>
      </c>
      <c r="G114" s="7"/>
    </row>
    <row r="115" ht="15.75" customHeight="1">
      <c r="A115" s="5" t="s">
        <v>62</v>
      </c>
      <c r="B115" s="5" t="s">
        <v>61</v>
      </c>
      <c r="C115" s="5" t="s">
        <v>54</v>
      </c>
      <c r="D115" s="5" t="s">
        <v>69</v>
      </c>
      <c r="E115" s="5" t="s">
        <v>218</v>
      </c>
      <c r="F115" s="6" t="s">
        <v>28</v>
      </c>
      <c r="G115" s="7"/>
    </row>
    <row r="116" ht="15.75" customHeight="1">
      <c r="A116" s="5" t="s">
        <v>62</v>
      </c>
      <c r="B116" s="5" t="s">
        <v>61</v>
      </c>
      <c r="C116" s="5" t="s">
        <v>60</v>
      </c>
      <c r="D116" s="5" t="s">
        <v>80</v>
      </c>
      <c r="E116" s="5" t="s">
        <v>219</v>
      </c>
      <c r="F116" s="6" t="s">
        <v>28</v>
      </c>
      <c r="G116" s="7"/>
    </row>
    <row r="117" ht="15.75" customHeight="1">
      <c r="A117" s="5" t="s">
        <v>62</v>
      </c>
      <c r="B117" s="5" t="s">
        <v>61</v>
      </c>
      <c r="C117" s="5" t="s">
        <v>66</v>
      </c>
      <c r="D117" s="5" t="s">
        <v>80</v>
      </c>
      <c r="E117" s="5" t="s">
        <v>220</v>
      </c>
      <c r="F117" s="6" t="s">
        <v>30</v>
      </c>
      <c r="G117" s="7"/>
    </row>
    <row r="118" ht="15.75" customHeight="1">
      <c r="A118" s="5" t="s">
        <v>62</v>
      </c>
      <c r="B118" s="5" t="s">
        <v>61</v>
      </c>
      <c r="C118" s="5" t="s">
        <v>68</v>
      </c>
      <c r="D118" s="5" t="s">
        <v>85</v>
      </c>
      <c r="E118" s="5" t="s">
        <v>221</v>
      </c>
      <c r="F118" s="6" t="s">
        <v>30</v>
      </c>
      <c r="G118" s="7"/>
    </row>
    <row r="119" ht="15.75" customHeight="1">
      <c r="A119" s="5" t="s">
        <v>62</v>
      </c>
      <c r="B119" s="5" t="s">
        <v>61</v>
      </c>
      <c r="C119" s="5" t="s">
        <v>71</v>
      </c>
      <c r="D119" s="5" t="s">
        <v>85</v>
      </c>
      <c r="E119" s="5" t="s">
        <v>222</v>
      </c>
      <c r="F119" s="6" t="s">
        <v>30</v>
      </c>
      <c r="G119" s="7"/>
    </row>
    <row r="120" ht="15.75" customHeight="1">
      <c r="A120" s="5" t="s">
        <v>62</v>
      </c>
      <c r="B120" s="5" t="s">
        <v>61</v>
      </c>
      <c r="C120" s="5" t="s">
        <v>73</v>
      </c>
      <c r="D120" s="5" t="s">
        <v>85</v>
      </c>
      <c r="E120" s="5" t="s">
        <v>223</v>
      </c>
      <c r="F120" s="6" t="s">
        <v>30</v>
      </c>
      <c r="G120" s="7"/>
    </row>
    <row r="121" ht="15.75" customHeight="1">
      <c r="A121" s="5" t="s">
        <v>62</v>
      </c>
      <c r="B121" s="5" t="s">
        <v>61</v>
      </c>
      <c r="C121" s="5" t="s">
        <v>75</v>
      </c>
      <c r="D121" s="5" t="s">
        <v>85</v>
      </c>
      <c r="E121" s="5" t="s">
        <v>224</v>
      </c>
      <c r="F121" s="6" t="s">
        <v>30</v>
      </c>
      <c r="G121" s="7"/>
    </row>
    <row r="122" ht="15.75" customHeight="1">
      <c r="A122" s="5" t="s">
        <v>62</v>
      </c>
      <c r="B122" s="5" t="s">
        <v>61</v>
      </c>
      <c r="C122" s="5" t="s">
        <v>77</v>
      </c>
      <c r="D122" s="5" t="s">
        <v>85</v>
      </c>
      <c r="E122" s="5" t="s">
        <v>225</v>
      </c>
      <c r="F122" s="6" t="s">
        <v>30</v>
      </c>
      <c r="G122" s="7"/>
    </row>
    <row r="123" ht="15.75" customHeight="1">
      <c r="A123" s="5" t="s">
        <v>62</v>
      </c>
      <c r="B123" s="5" t="s">
        <v>61</v>
      </c>
      <c r="C123" s="5" t="s">
        <v>79</v>
      </c>
      <c r="D123" s="5" t="s">
        <v>85</v>
      </c>
      <c r="E123" s="5" t="s">
        <v>226</v>
      </c>
      <c r="F123" s="6" t="s">
        <v>30</v>
      </c>
      <c r="G123" s="7"/>
    </row>
    <row r="124" ht="15.75" customHeight="1">
      <c r="A124" s="5" t="s">
        <v>62</v>
      </c>
      <c r="B124" s="5" t="s">
        <v>61</v>
      </c>
      <c r="C124" s="5" t="s">
        <v>82</v>
      </c>
      <c r="D124" s="5" t="s">
        <v>85</v>
      </c>
      <c r="E124" s="5" t="s">
        <v>227</v>
      </c>
      <c r="F124" s="6" t="s">
        <v>30</v>
      </c>
      <c r="G124" s="7"/>
    </row>
    <row r="125" ht="15.75" customHeight="1">
      <c r="A125" s="5" t="s">
        <v>62</v>
      </c>
      <c r="B125" s="5" t="s">
        <v>61</v>
      </c>
      <c r="C125" s="5" t="s">
        <v>84</v>
      </c>
      <c r="D125" s="5" t="s">
        <v>85</v>
      </c>
      <c r="E125" s="5" t="s">
        <v>228</v>
      </c>
      <c r="F125" s="6" t="s">
        <v>28</v>
      </c>
      <c r="G125" s="7"/>
    </row>
    <row r="126" ht="15.75" customHeight="1">
      <c r="A126" s="5" t="s">
        <v>62</v>
      </c>
      <c r="B126" s="5" t="s">
        <v>61</v>
      </c>
      <c r="C126" s="5" t="s">
        <v>87</v>
      </c>
      <c r="D126" s="5" t="s">
        <v>85</v>
      </c>
      <c r="E126" s="5" t="s">
        <v>229</v>
      </c>
      <c r="F126" s="6" t="s">
        <v>30</v>
      </c>
      <c r="G126" s="7"/>
    </row>
    <row r="127" ht="15.75" customHeight="1">
      <c r="A127" s="5" t="s">
        <v>62</v>
      </c>
      <c r="B127" s="5" t="s">
        <v>61</v>
      </c>
      <c r="C127" s="5" t="s">
        <v>90</v>
      </c>
      <c r="D127" s="5" t="s">
        <v>85</v>
      </c>
      <c r="E127" s="5" t="s">
        <v>230</v>
      </c>
      <c r="F127" s="6" t="s">
        <v>30</v>
      </c>
      <c r="G127" s="7"/>
    </row>
    <row r="128" ht="15.75" customHeight="1">
      <c r="A128" s="5" t="s">
        <v>62</v>
      </c>
      <c r="B128" s="5" t="s">
        <v>61</v>
      </c>
      <c r="C128" s="5" t="s">
        <v>92</v>
      </c>
      <c r="D128" s="5" t="s">
        <v>85</v>
      </c>
      <c r="E128" s="5" t="s">
        <v>231</v>
      </c>
      <c r="F128" s="6" t="s">
        <v>30</v>
      </c>
      <c r="G128" s="7"/>
    </row>
    <row r="129" ht="15.75" customHeight="1">
      <c r="A129" s="5" t="s">
        <v>62</v>
      </c>
      <c r="B129" s="5" t="s">
        <v>61</v>
      </c>
      <c r="C129" s="5" t="s">
        <v>94</v>
      </c>
      <c r="D129" s="5" t="s">
        <v>85</v>
      </c>
      <c r="E129" s="5" t="s">
        <v>232</v>
      </c>
      <c r="F129" s="6" t="s">
        <v>30</v>
      </c>
      <c r="G129" s="7"/>
    </row>
    <row r="130" ht="15.75" customHeight="1">
      <c r="A130" s="5" t="s">
        <v>62</v>
      </c>
      <c r="B130" s="5" t="s">
        <v>61</v>
      </c>
      <c r="C130" s="5" t="s">
        <v>96</v>
      </c>
      <c r="D130" s="5" t="s">
        <v>85</v>
      </c>
      <c r="E130" s="5" t="s">
        <v>233</v>
      </c>
      <c r="F130" s="6" t="s">
        <v>30</v>
      </c>
      <c r="G130" s="7"/>
    </row>
    <row r="131" ht="15.75" customHeight="1">
      <c r="A131" s="5" t="s">
        <v>62</v>
      </c>
      <c r="B131" s="5" t="s">
        <v>61</v>
      </c>
      <c r="C131" s="5" t="s">
        <v>98</v>
      </c>
      <c r="D131" s="5" t="s">
        <v>85</v>
      </c>
      <c r="E131" s="5" t="s">
        <v>234</v>
      </c>
      <c r="F131" s="6" t="s">
        <v>30</v>
      </c>
      <c r="G131" s="7"/>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1"/>
  <dataValidations>
    <dataValidation type="list" allowBlank="1" showInputMessage="1" showErrorMessage="1" prompt="Invalid label - Pick CLAIM or BACKGROUND" sqref="F2:F131">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4" t="s">
        <v>18</v>
      </c>
      <c r="B1" s="4" t="s">
        <v>17</v>
      </c>
      <c r="C1" s="4" t="s">
        <v>39</v>
      </c>
      <c r="D1" s="4" t="s">
        <v>42</v>
      </c>
      <c r="E1" s="4" t="s">
        <v>43</v>
      </c>
    </row>
    <row r="2">
      <c r="A2" s="5" t="s">
        <v>25</v>
      </c>
      <c r="B2" s="5" t="s">
        <v>24</v>
      </c>
      <c r="C2" s="5" t="s">
        <v>46</v>
      </c>
      <c r="D2" s="5">
        <v>44.0</v>
      </c>
      <c r="E2" s="5" t="s">
        <v>48</v>
      </c>
    </row>
    <row r="3">
      <c r="A3" s="5" t="s">
        <v>50</v>
      </c>
      <c r="B3" s="5" t="s">
        <v>51</v>
      </c>
      <c r="C3" s="5" t="s">
        <v>52</v>
      </c>
      <c r="D3" s="5">
        <v>34.0</v>
      </c>
      <c r="E3" s="5" t="s">
        <v>53</v>
      </c>
    </row>
    <row r="4">
      <c r="A4" s="5" t="s">
        <v>55</v>
      </c>
      <c r="B4" s="5" t="s">
        <v>57</v>
      </c>
      <c r="C4" s="5" t="s">
        <v>58</v>
      </c>
      <c r="D4" s="5">
        <v>29.0</v>
      </c>
      <c r="E4" s="5" t="s">
        <v>59</v>
      </c>
    </row>
    <row r="5">
      <c r="A5" s="5" t="s">
        <v>61</v>
      </c>
      <c r="B5" s="5" t="s">
        <v>62</v>
      </c>
      <c r="C5" s="5" t="s">
        <v>64</v>
      </c>
      <c r="D5" s="5">
        <v>23.0</v>
      </c>
      <c r="E5" s="5"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