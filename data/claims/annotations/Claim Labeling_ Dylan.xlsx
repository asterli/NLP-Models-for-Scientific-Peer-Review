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s" sheetId="2" r:id="rId6"/>
    <sheet state="visible" name="Papers" sheetId="3" r:id="rId7"/>
  </sheets>
  <definedNames>
    <definedName hidden="1" localSheetId="1" name="_xlnm._FilterDatabase">Labels!$A$1:$G$131</definedName>
  </definedNames>
  <calcPr/>
</workbook>
</file>

<file path=xl/sharedStrings.xml><?xml version="1.0" encoding="utf-8"?>
<sst xmlns="http://schemas.openxmlformats.org/spreadsheetml/2006/main" count="857" uniqueCount="229">
  <si>
    <t>Claim labeling: Dylan</t>
  </si>
  <si>
    <t>paper_id</t>
  </si>
  <si>
    <t>pmcid</t>
  </si>
  <si>
    <t>What to do</t>
  </si>
  <si>
    <t>1. Read each paper's sentences in order on the Labels tab (they are grouped by paper, in reading order).</t>
  </si>
  <si>
    <t>2. In the yellow 'label' column, pick CLAIM or BACKGROUND from the dropdown. Every sentence needs a label.</t>
  </si>
  <si>
    <t>3. Use 'note' for anything borderline, so we can discuss it. Don't change any other column.</t>
  </si>
  <si>
    <t>sentence_id</t>
  </si>
  <si>
    <t>4. Label on your own, without comparing with others. Some papers are labeled by two people on purpose.</t>
  </si>
  <si>
    <t>section</t>
  </si>
  <si>
    <t>title</t>
  </si>
  <si>
    <t>text</t>
  </si>
  <si>
    <t>label</t>
  </si>
  <si>
    <t>5. Due Sunday (Oct 18). Send the file back as is (don't rename columns or re-sort).</t>
  </si>
  <si>
    <t>sentences</t>
  </si>
  <si>
    <t>note</t>
  </si>
  <si>
    <t>link</t>
  </si>
  <si>
    <t>doi:10.1186/s12954-022-00646-0</t>
  </si>
  <si>
    <t>Rules (full guide: data/claims/claim_labeling_guide.md in the repo)</t>
  </si>
  <si>
    <t>PMC9311344</t>
  </si>
  <si>
    <t>CLAIM: the paper's own objective, contribution, finding, or conclusion (including implications of its findings).</t>
  </si>
  <si>
    <t>s001</t>
  </si>
  <si>
    <t>abstract:background</t>
  </si>
  <si>
    <t>BACKGROUND: everything else, including prior work, motivation, gaps, and the study's own setup.</t>
  </si>
  <si>
    <t>Internationally, strategies focusing on reducing alcohol-related harms in homeless populations with severe alcohol use disorder (AUD) continue to gain acceptance, especially when conventional modalities focused on alcohol abstinence have been unsuccessful.</t>
  </si>
  <si>
    <t>Scoping review of managed alcohol programs</t>
  </si>
  <si>
    <t>NEW: descriptions of this study's design, setting, recruitment, or sample are BACKGROUND,</t>
  </si>
  <si>
    <t>unless the paper presents them as its contribution (e.g. first test in a particular population).</t>
  </si>
  <si>
    <t>https://doi.org/10.1186/s12954-022-00646-0</t>
  </si>
  <si>
    <t>Example (how a filled row looks)</t>
  </si>
  <si>
    <t>PMC9832072</t>
  </si>
  <si>
    <t>text: This secondary analysis of a randomized clinical trial included 2255 homeless adults with mental illnesses.</t>
  </si>
  <si>
    <t>doi:10.1007/s10488-022-01224-z</t>
  </si>
  <si>
    <t>label: BACKGROUND    note: (empty, not borderline)</t>
  </si>
  <si>
    <t>Supporting Vulnerable People During Challenging Transitions: A Systematic Review of Critical Time Intervention</t>
  </si>
  <si>
    <t>Progress</t>
  </si>
  <si>
    <t>https://doi.org/10.1007/s10488-022-01224-z</t>
  </si>
  <si>
    <t>Sentences</t>
  </si>
  <si>
    <t>PMC11773779</t>
  </si>
  <si>
    <t>doi:10.1186/s12889-024-21169-2</t>
  </si>
  <si>
    <t>Addressing racial and ethnic disparities in premature exits from permanent supportive housing among residents with substance use disorders</t>
  </si>
  <si>
    <t>BACKGROUND</t>
  </si>
  <si>
    <t>https://doi.org/10.1186/s12889-024-21169-2</t>
  </si>
  <si>
    <t>PMC12052498</t>
  </si>
  <si>
    <t>doi:10.1111/1475-6773.14428</t>
  </si>
  <si>
    <t>The effect of a Veterans Affairs rapid rehousing and homelessness prevention program on long‐term housing instability</t>
  </si>
  <si>
    <t>https://doi.org/10.1111/1475-6773.14428</t>
  </si>
  <si>
    <t>s002</t>
  </si>
  <si>
    <t>One such strategy is the managed alcohol program (MAP), an alcohol harm reduction program managing consumption by providing eligible individuals with regular doses of alcohol as a part of a structured program, and often providing resources such as housing and other social services.</t>
  </si>
  <si>
    <t>s003</t>
  </si>
  <si>
    <t>Evidence to the role of MAPs for individuals with AUD, including how MAPs are developed and implemented, is growing.</t>
  </si>
  <si>
    <t>s004</t>
  </si>
  <si>
    <t>Yet there has been limited collective review of literature findings.</t>
  </si>
  <si>
    <t>s005</t>
  </si>
  <si>
    <t>abstract:methods</t>
  </si>
  <si>
    <t>We conducted a scoping review to answer, “What is being evaluated in studies of MAPs?</t>
  </si>
  <si>
    <t>CLAIM</t>
  </si>
  <si>
    <t>Aim</t>
  </si>
  <si>
    <t>s006</t>
  </si>
  <si>
    <t>What factors are associated with a successful MAP, from the perspective of client outcomes?</t>
  </si>
  <si>
    <t>s007</t>
  </si>
  <si>
    <t>What are the factors perceived as making them a good fit for clients and for communities?”</t>
  </si>
  <si>
    <t>s008</t>
  </si>
  <si>
    <t>We first conducted a systematic search in PubMed, Embase, PsycINFO, CINAHL, Sociological Abstracts, Social Services Abstracts, and Google Scholar.</t>
  </si>
  <si>
    <t>s009</t>
  </si>
  <si>
    <t>Next, we searched the gray literature (through focused Google and Ecosia searches) and references of included articles to identify additional studies.</t>
  </si>
  <si>
    <t>s010</t>
  </si>
  <si>
    <t>We also contacted experts to ensure relevant studies were not missed.</t>
  </si>
  <si>
    <t>s011</t>
  </si>
  <si>
    <t>All articles were independently screened and extracted.</t>
  </si>
  <si>
    <t>s012</t>
  </si>
  <si>
    <t>abstract:results</t>
  </si>
  <si>
    <t>Still blank</t>
  </si>
  <si>
    <t>We included 32 studies with four categories of findings related to: (1) client outcomes resulting from MAP participation, (2) client experience within a MAP; (3) feasibility and fit considerations in MAP development within a community; and (4) recommendations for implementation and evaluation.</t>
  </si>
  <si>
    <t>s013</t>
  </si>
  <si>
    <t>There were 38 established MAPs found, of which 9 were featured in the literature.</t>
  </si>
  <si>
    <t>Result</t>
  </si>
  <si>
    <t>s014</t>
  </si>
  <si>
    <t>The majority were located in Canada; additional research works out of Australia, Poland, the USA, and the UK evaluate potential feasibility and fit of a MAP.</t>
  </si>
  <si>
    <t>s015</t>
  </si>
  <si>
    <t>abstract:conclusions</t>
  </si>
  <si>
    <t>The growing literature showcases several outcomes of interest, with increasing efforts aimed at systematic measures by which to determine the effectiveness and potential risks of MAP.</t>
  </si>
  <si>
    <t>s016</t>
  </si>
  <si>
    <t>Based on a harm reduction approach, MAPs offer a promising, targeted intervention for individuals with severe AUD and experiencing homelessness.</t>
  </si>
  <si>
    <t>s017</t>
  </si>
  <si>
    <t>Research designs that allow for longitudinal follow-up and evaluation of health- and housing-sensitive outcomes are recommended.</t>
  </si>
  <si>
    <t>Conclusion</t>
  </si>
  <si>
    <t>s018</t>
  </si>
  <si>
    <t>introduction</t>
  </si>
  <si>
    <t>Alcohol-related deaths are on the rise in the USA, with 72,558 deaths reported in 2017, more than double the number from 1999 [1].</t>
  </si>
  <si>
    <t>s019</t>
  </si>
  <si>
    <t>Worldwide, there were nearly 3 million deaths related to the harmful use of alcohol, with increases seen throughout the COVID-19 pandemic [2–5].</t>
  </si>
  <si>
    <t>s020</t>
  </si>
  <si>
    <t>Additionally, over 30% of countries surveyed by the WHO have policies and efforts related to the consumption of “surrogate alcohol” (i.e., non-beverage alcohol (NBA) such as hand sanitizer, rubbing alcohol, and mouthwash) [2].</t>
  </si>
  <si>
    <t>s021</t>
  </si>
  <si>
    <t>Approximately 10.6 million adults in the USA had alcohol use disorder (AUD) in 2017 [6].</t>
  </si>
  <si>
    <t>s022</t>
  </si>
  <si>
    <t>Adults experiencing homelessness are especially at risk, with AUD prevalence estimates exceeding 50%, and alcohol and drug use contributing to one-third of deaths in adults experiencing homelessness in one study [7, 8].</t>
  </si>
  <si>
    <t>s023</t>
  </si>
  <si>
    <t>Communities experiencing both homelessness and severe AUD (a condition defined by the presence of six or more symptoms of AUD as described in the Diagnostic and Statistical Manual V) [9] experience high rates of physical and emotional trauma, severe medical comorbidities and mental illness, and difficult social circumstances that can be barriers to achieving stable housing and long-term alcohol abstinence.</t>
  </si>
  <si>
    <t>s024</t>
  </si>
  <si>
    <t>Internationally, harm reduction strategies have gained traction by focusing on the reduction in alcohol-related harms in populations experiencing co-occurring homelessness and AUD, especially in those where conventional modalities focused on alcohol reduction and abstinence have not been successful.</t>
  </si>
  <si>
    <t>s025</t>
  </si>
  <si>
    <t>One such strategy is the managed alcohol program (MAP), a non-abstinence-based strategy managing the consumption of alcohol by providing eligible individuals with regular doses of alcohol as a part of a structured program, and often providing resources such as housing, access to medical care, regular meals, and other social services [10].</t>
  </si>
  <si>
    <t>s026</t>
  </si>
  <si>
    <t>MAPs are founded on the principles of alcohol harm reduction.</t>
  </si>
  <si>
    <t>s027</t>
  </si>
  <si>
    <t>Compared to efforts aimed at reducing the harmful effects of drug use (e.g., syringe exchange, naloxone distribution) or HIV transmission (e.g., preventative HIV medication such as pre-exposure prophylaxis (PrEP)), alcohol harm reduction is less well known.</t>
  </si>
  <si>
    <t>s028</t>
  </si>
  <si>
    <t>Alcohol harm reduction has largely been approached at the population level [11, 12], balancing the challenge of modifying the consumption of a substance both legal and deeply ingrained in societal culture [2, 13–15].</t>
  </si>
  <si>
    <t>s029</t>
  </si>
  <si>
    <t>And compared to abstinence-based efforts, alcohol harm reduction often includes policy efforts regarding access to and availability of alcohol at the population level and efforts to moderate consumption [11, 16–19].</t>
  </si>
  <si>
    <t>s030</t>
  </si>
  <si>
    <t>At the same time, a subgroup of individuals with severe AUD likewise face structural oppression including economic disparities, poverty, homelessness, racism, and related stigmas [20–24].</t>
  </si>
  <si>
    <t>s031</t>
  </si>
  <si>
    <t>The needs of this subgroup are typically not addressed, and may be negatively exacerbated, by reliance on population-level interventions to reduce moderate alcohol consumption [11].</t>
  </si>
  <si>
    <t>s032</t>
  </si>
  <si>
    <t>MAPs operate at this intersection, addressing the co-occurring harms related to severe AUD and the vulnerability related to structural inequities and oppression.</t>
  </si>
  <si>
    <t>s033</t>
  </si>
  <si>
    <t>At the time of this review, there were 38 established MAPs including programs located in both large and small project-based permanent housing, shelters, non-residential day programs, mobile services to scattered sites, COVID-19-related programs, and inpatient services [10, 25–28].</t>
  </si>
  <si>
    <t>s034</t>
  </si>
  <si>
    <t>MAPs have existed since the late 1990s predominantly in Canada [10].</t>
  </si>
  <si>
    <t>s035</t>
  </si>
  <si>
    <t>A primary goal of MAPs is to reduce the harmful effects related to alcohol consumption, paying particular attention to not increase or introduce additional harms.</t>
  </si>
  <si>
    <t>s036</t>
  </si>
  <si>
    <t>To reduce the harm from consumption of non-beverage products containing alcohol, MAPs provide safer sources of beverage alcohol to participants [10, 29, 30].</t>
  </si>
  <si>
    <t>s037</t>
  </si>
  <si>
    <t>MAPs typically screen, provide care, and monitor physical and mental health conditions in collaboration with clients, increasing engagement and working to stabilize co-occurring conditions and reduce alcohol-related harms [10, 31].</t>
  </si>
  <si>
    <t>s038</t>
  </si>
  <si>
    <t>To date, there has been no comprehensive review of MAP studies that evaluate the state of the research and collective findings internationally.</t>
  </si>
  <si>
    <t>s039</t>
  </si>
  <si>
    <t>To address this gap, we aimed to conduct a scoping review of both peer-reviewed and gray literature to answer the questions: What is being evaluated in studies of MAPs?</t>
  </si>
  <si>
    <t>s040</t>
  </si>
  <si>
    <t>What factors are associated with a successful managed alcohol program, from the perspective of client outcomes?</t>
  </si>
  <si>
    <t>s041</t>
  </si>
  <si>
    <t>And what are the factors related to MAPs that are perceived as making them a good fit for clients and for communities?</t>
  </si>
  <si>
    <t>s042</t>
  </si>
  <si>
    <t>We seek to inform researchers and public health officials on strategies and appropriateness for MAP development within health systems and communities.</t>
  </si>
  <si>
    <t>s043</t>
  </si>
  <si>
    <t>Our objectives were to identify the intended and measured impacts of a MAP including on client health outcomes, alcohol consumption, and housing stabilization, understand MAP feasibility and implementation, characterize the key components of MAPs, identify gaps in knowledge and the literature, and recommend possible areas for future study.</t>
  </si>
  <si>
    <t>abstract</t>
  </si>
  <si>
    <t>Critical Time Intervention (CTI) is designed to reduce the risk of homelessness and other adverse outcomes by providing support to individuals during challenging life course transitions.</t>
  </si>
  <si>
    <t>While several narrative reviews suggest the benefit of CTI, the evidence on the model’s effectiveness has not been systematically reviewed.</t>
  </si>
  <si>
    <t>This article systematically reviews studies of CTI applied to a variety of populations and transition types.</t>
  </si>
  <si>
    <t>Following the Preferred Reporting Items for Systematic Review and Meta-Analysis for protocols (PRISMA-P) guidelines, we reviewed 13 eligible experimental and quasi-experimental studies.</t>
  </si>
  <si>
    <t>Findings were summarized by individual outcome domains, including housing, service engagement use, hospitalization or emergency services, mental health, substance use, family and social support, and quality of life.</t>
  </si>
  <si>
    <t>CTI had a consistent positive impact on two primary outcomes—reduced homelessness and increased service engagement use—among different populations and contexts.</t>
  </si>
  <si>
    <t>Despite the effectiveness of CTI, the specific mechanisms of the model’s positive impacts remain unclear.</t>
  </si>
  <si>
    <t>Implications for practice, policy and research are addressed.</t>
  </si>
  <si>
    <t>Critical Time Intervention (CTI) is a time-limited individual-level intervention designed to reduce the risk of homelessness and other adverse outcomes by providing support to individuals during challenging life course transitions.</t>
  </si>
  <si>
    <t>The intervention is intended to help people make optimal use of existing and new supports, including formal service providers, family, and friends, and provide practical and emotional support during the early phases of the transition process.</t>
  </si>
  <si>
    <t>An important part of CTI is the worker establishing a preliminary relationship and conducting a needs assessment with individuals prior to transition.</t>
  </si>
  <si>
    <t>While the initial CTI studies focused on individuals with serious mental illness and chronic homelessness transitioning from shelters (Susser et al., 1997) and psychiatric inpatient care (Herman et al., 2011), the model has since been adapted for a range of populations and transition types (Herman, 2014; Herman et al., 2007).</t>
  </si>
  <si>
    <t>CTI emerged in the mid 1980s when New York City and other large US cities were confronting a dramatic growth in the number of homeless persons, including many single adults with severe mental illnesses and substance misuse problems (Valencia et al., 1996).</t>
  </si>
  <si>
    <t>The model’s foundation is based on elements utilized in other evidenced-based models that address the needs of adults with severe mental illness, including small caseloads, assertive outreach, in vivo services, and individualized case management plans.</t>
  </si>
  <si>
    <t>An important distinction between CTI and other assertive outreach models/strategies is that, rather than providing ongoing treatment and direct support, it is a time-limited intervention that aims to root clients within existing systems of community-based services and social support.</t>
  </si>
  <si>
    <t>CTI has traditionally been delivered in three phases: Initiate Linkages; Try Out; and Final Transfer of Support.</t>
  </si>
  <si>
    <t>An Early Engagement phase occurs prior to transition and involves building a therapeutic relationship with individuals and developing a transition needs assessment.</t>
  </si>
  <si>
    <t>The most intensive phase, Initiate Linkages, begins following discharge and focuses on developing a transition plan, providing intensive support, and identifying the formal and informal resources to whom to transition the care.</t>
  </si>
  <si>
    <t>CTI focuses on a limited range of treatment goals (e.g., housing, mental health, substance use, family and social support, employment) that individuals identify as most important to address for the community integration, thereby personalizing their care strategy to reduce the risk of homelessness and other adverse outcomes.</t>
  </si>
  <si>
    <t>The Try Out phase entails testing and adjusting the formal and informal systems of support that were developed previously.</t>
  </si>
  <si>
    <t>The last phase, Final Transfer of Support, focuses on completing the transfer to a network of formal and informal resources to provide long-term support to the individual.</t>
  </si>
  <si>
    <t>More recently, the importance of the ‘pre-CTI’ phase—the period preceding the actual transition point, when early engagement ideally begins—has been emphasized, leading some descriptions of the model to include four rather than three phases.</t>
  </si>
  <si>
    <t>The CTI phases and activities are described in more detail elsewhere (Center for the Advancement of Critical Time Intervention, 2021, https://www.criticaltime.org/).</t>
  </si>
  <si>
    <t>Successful implementation of CTI depends on the degree to which key elements of the model are implemented as intended, also known as intervention fidelity.</t>
  </si>
  <si>
    <t>To enhance fidelity, a training program that can be adapted for each context has been developed and is generally used by studies before implementation.</t>
  </si>
  <si>
    <t>Fidelity to CTI is generally measured using the CTI Fidelity Scale, which consists of 15 items that are divided into three sections: client-based, worker-based, and team-based (Conover et al., 2007).</t>
  </si>
  <si>
    <t>The items are measured on a 5-point scale ranging from not implemented to ideally implemented.</t>
  </si>
  <si>
    <t>Fidelity ratings are made of seven core ingredients of CTI: early assessment and engagement, community-based, phased intervention, decreasing intensity of contacts over time, focused, time-limited and few dropouts.</t>
  </si>
  <si>
    <t>Ratings are made of two items related to the structure of CTI: small caseload size and weekly team supervision.</t>
  </si>
  <si>
    <t>The fidelity scale also includes six items related to the quality of delivering CTI: worker’s role, supervision, fieldwork coordination, as well as the documentation on the phase plans, progress notes, and closing notes.</t>
  </si>
  <si>
    <t>The fidelity assessors are aided by worksheets, on which they abstract data and calculate the ratings.</t>
  </si>
  <si>
    <t>The data sources are the documentation by the team members and notes taken by the assessors during observation of team supervision, client records, an interview with the supervisor, and a focus group with the workers.</t>
  </si>
  <si>
    <t>Despite several narrative reviews describing the impact of CTI (Herman, 2014; Herman &amp; Mandiberg, 2010; Herman et al., 2007), the evidence to date has yet to be systematically reviewed.</t>
  </si>
  <si>
    <t>Additionally, since the last narrative review, the evidence base for CTI has grown substantially with different populations and transition settings nationally and internationally.</t>
  </si>
  <si>
    <t>The primary goal of this review is to summarize and examine the consistency of findings across the CTI studies and their applicability in a variety of populations and transition types through a systematic review of the existing literature.</t>
  </si>
  <si>
    <t>Permanent supportive housing (PSH) is an evidence-based practice for reducing homelessness that subsidizes permanent, independent housing and provides case management—including linkages to health services.</t>
  </si>
  <si>
    <t>Substance use disorders (SUDs) are common contributing factors towards premature, unwanted (“negative”) PSH exits; little is known about racial/ethnic differences in negative PSH exits among residents with SUDs.</t>
  </si>
  <si>
    <t>Within the nation’s largest PSH program at the Department of Veterans Affairs (VA), we examined relationships among SUDs and negative PSH exits (for up to five years post-PSH move-in) across racial/ethnic subgroups.</t>
  </si>
  <si>
    <t>We used VA administrative data to identify a cohort of homeless-experienced Veterans (HEVs) (n = 2,712) who were housed through VA Greater Los Angeles’ PSH program from 2016–2019.</t>
  </si>
  <si>
    <t>We analyzed negative PSH exits by HEVs with and without SUDs across racial/ethnic subgroups (i.e., African American/Black, Non-Hispanic White, Hispanic/Latino, and Other/Mixed [Asian, American Indian or Alaskan Native, and Native Hawaiian or Other Pacific Islander, and mixed race/ethnicity]) in controlled models and accounting for competing risk of death.</t>
  </si>
  <si>
    <t>In competing risk models, HEVs with at least one SUD had 1.3 times the hazard of negative PSH exits compared to those without SUDs (95% CI: 1.00, 1.61).</t>
  </si>
  <si>
    <t>When stratifying by race/ethnicity, Other/Mixed race residents with at least one SUD had 6.4 times the hazard of negative PSH exits compared to their peers without SUDs (95% CI: 1.61–25.50).</t>
  </si>
  <si>
    <t>Hispanic/Latino residents with at least one SUD had 1.9 times the hazard compared to those without SUDs; however, this association was not statistically significant (95% CI: 0.85–4.37).</t>
  </si>
  <si>
    <t>African American/Black residents with at least one SUD had 1.2 times the hazard compared to those without SUDs (95% CI: 0.85–1.64), indicating no evidence of an association with negative PSH exits.</t>
  </si>
  <si>
    <t>Non-Hispanic White residents with at least one SUD had 1.1 times the hazard compared to those without SUDs (95% CI: 0.75–1.66), similarly indicating no evidence to suggest an association with negative PSH exits.</t>
  </si>
  <si>
    <t>These findings suggest relationships between SUDs and negative PSH exits differ between racial/ethnic groups and suggest there may be value in culturally specific tailoring and implementation of SUD services for these subgroups.</t>
  </si>
  <si>
    <t>Permanent supportive housing (PSH), which combines subsidies for permanent and independent housing with field-based supportive services, is an evidence-based practice that addresses homelessness and its profound associated health and social disparities.</t>
  </si>
  <si>
    <t>PSH has demonstrated success in retaining homeless-experienced residents for up to two years, including those with substance use disorders (SUDs) [1–3]; however, SUDs are also one of the most significant contributing factors towards premature, unwanted (“negative”) PSH exits (e.g., eviction) and returns to homelessness [4–6].</t>
  </si>
  <si>
    <t>The prevalence of SUDs varies across racial/ethnic subgroups, with increased prevalence among PSH residents who self-identify as racial/ethnic minorities compared to Non-Hispanic White residents who have experienced homelessness [7].</t>
  </si>
  <si>
    <t>As such, there is a need to identify subpopulations of homeless-experienced residents with heightened vulnerabilities towards negative PSH exits and to provide these groups with supports that enhance equity in housing stabilization interventions.</t>
  </si>
  <si>
    <t>Developed in the early 1990s, PSH draws upon principles of “Housing First,” providing affordable, low-barrier housing options to individuals experiencing homelessness, and accompanied by linkages to medical and mental health services.</t>
  </si>
  <si>
    <t>PSH case management and other field-based supportive services are guided by a harm-reduction approach, and do not mandate SUD treatment and/or sobriety [8–10].</t>
  </si>
  <si>
    <t>There is substantial evidence that PSH reduces homelessness and increases housing stability for residents with SUDs [1, 2].</t>
  </si>
  <si>
    <t>However, despite the effectiveness of the PSH model for residents with SUDs, substance use remains one of the most significant contributing factors towards housing instability [11], including within PSH programs [4, 6].</t>
  </si>
  <si>
    <t>In partnership with the Department of Housing and Urban Development (HUD), the Department of Veterans Affairs’ (VA) Supportive Housing (HUD-VASH) program is the nation’s largest PSH initiative and a useful setting to examine disparities in PSH outcomes and inform improvement efforts.</t>
  </si>
  <si>
    <t>SUDs are highly prevalent among homeless-experienced Veterans (HEVs), estimated to have 60–76% prevalence [12, 13] compared to 11–18% among the general Veteran population [14, 15].</t>
  </si>
  <si>
    <t>Moreover, relative to the general Veteran population, HEVs have greater racial/ethnic diversity [16, 17] and diversity among Veterans is only projected to increase in coming years [18].</t>
  </si>
  <si>
    <t>As such, there is a need to assess racial/ethnic disparities in PSH outcomes to inform tailored and targeted strategies for mitigating these disparities and to ensure the provision of equitable VA medical care and social services across subgroups of HEV residents.</t>
  </si>
  <si>
    <t>Existing literature has identified disparities in SUD diagnoses among Veterans who self-identify as racial/ethnic minoritized groups, including the underdiagnosis of SUDs among Hispanic/Latino Veterans [19].</t>
  </si>
  <si>
    <t>Existing literature has also identified higher odds of housing instability among Veterans who self-identify as racial/ethnic minoritized groups [17].</t>
  </si>
  <si>
    <t>However, we know little about the relationships between SUDs and PSH outcomes across racial/ethnic subgroups of Veterans.</t>
  </si>
  <si>
    <t>An analysis of PSH outcomes from the first wave of HUD-VASH voucher administration found HUD-VASH to be more effective in improving housing retention outcomes among Non-Hispanic White HEVs with SUDs compared to African American/Black HEVs with SUDs; this analysis specifically noted that interactions between SUDs and race/ethnicity were deserving of future study [20].</t>
  </si>
  <si>
    <t>The interactions among SUDs, race/ethnicity, and housing outcomes in this context remain understudied.</t>
  </si>
  <si>
    <t>To fill this gap, among a cohort of HEVs housed through HUD-VASH in Los Angeles, we used administrative data to examine the relationships between SUDs and negative PSH exits, overall and by race/ethnicity, for up to five years post-PSH entry.</t>
  </si>
  <si>
    <t>abstract:objective</t>
  </si>
  <si>
    <t>To evaluate the effect of enrolling in Supportive Services for Veteran Families (SSVF) on short‐ and long‐term housing outcomes among Veterans experiencing housing instability.</t>
  </si>
  <si>
    <t>We analyzed data from the Department of Veterans Affairs (VA) electronic health record (EHR) between October 2015 and December 2018 using the target trial emulation framework.</t>
  </si>
  <si>
    <t>Veterans were included in one or more trials if they were 18 years or older, had recent evidence of housing instability, had received care in VA for at least 1 year, and had never before enrolled in SSVF.</t>
  </si>
  <si>
    <t>Patients who enrolled in SSVF after meeting eligibility were assigned to the treatment group, while patients who did not enroll in SSVF were assigned to a control group.</t>
  </si>
  <si>
    <t>We extracted patients' housing outcomes from the EHR and modeled the probability of being unstably housed each day while accounting for confounders and irregular visit times.</t>
  </si>
  <si>
    <t>We extracted housing status and covariates from the VA Corporate Data Warehouse.</t>
  </si>
  <si>
    <t>Housing instability was ascertained using a combination of structured data elements and natural language processing.</t>
  </si>
  <si>
    <t>We identified 238,059 unique patients who met the eligibility criteria for one or more trials.</t>
  </si>
  <si>
    <t>The risk of housing instability decreased in both arms over the three years after initiating a trial but was lower among SSVF enrollees, with a risk difference of −12.9% (95% confidence band −14.6%, −11.2%) on Day 120 and an attenuated difference of −2.4% (−4.0%, −0.7%) on Day 1095.</t>
  </si>
  <si>
    <t>SSVF is one of the largest rapid rehousing and homelessness prevention programs in the nation.</t>
  </si>
  <si>
    <t>We found that SSVF improves housing outcomes over the three years following enrollment, but the effect reduces over time.</t>
  </si>
  <si>
    <t>These findings can inform policy and program design for improving housing outcomes for homeless‐experienced individuals.</t>
  </si>
  <si>
    <t>Homelessness is a significant public health concern.</t>
  </si>
  <si>
    <t>Lack of safe, stable housing has been shown to be associated with adverse health outcomes and decreased quality of life.[1], [2], [3]</t>
  </si>
  <si>
    <t>In the United States, Veterans comprise a significant portion of the homeless population.[4]</t>
  </si>
  <si>
    <t>The Department of Veterans Affairs (VA) has implemented several programs that assist Veterans experiencing homelessness or at risk of becoming homeless.</t>
  </si>
  <si>
    <t>One major program is Supportive Services for Veteran Families (SSVF), which offers various rapid rehousing and homelessness prevention services, including financial help, to individual Veterans and their households.[5]</t>
  </si>
  <si>
    <t>Several studies offer evidence supporting short‐term effectiveness for particular components of SSVF (e.g., temporary financial assistance) on health and housing outcomes such as achieving and maintaining stable housing,[6], [7], [8], [9], [10], [11], [12] showing that most Veterans enrolled in SSVF exit the program to stable housing and that temporary financial assistance leads to improved housing stability at the time of program exit and up to 1.5 years after program entry.[6], [10]</t>
  </si>
  <si>
    <t>However, no studies have examined whether SSVF as a whole (i.e., enrolling in SSVF compared to not enrolling in SSVF) is effective in improving housing outcomes for Veterans experiencing housing instability.</t>
  </si>
  <si>
    <t>Researchers and policymakers seeking to evaluate programs like SSVF are restricted by a lack of large, prospective, randomized studies with long‐term follow‐up.</t>
  </si>
  <si>
    <t>While randomized clinical trials (RCTs) are the gold standard study design for assessing the effect of an intervention, they are challenging to conduct for real‐world programs such as SSVF.</t>
  </si>
  <si>
    <t>An alternative to conducting an RCT is to emulate one using observational data such as health data recorded in the electronic health record (EHR).[13]</t>
  </si>
  <si>
    <t>The objective of this study was to assess the impact of enrolling in SSVF on a Veteran's risk of being unstably housed during the three years following an episode of housing instability.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</si>
</sst>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D9D9D9"/>
        <bgColor rgb="FFD9D9D9"/>
      </patternFill>
    </fill>
    <fill>
      <patternFill patternType="solid">
        <fgColor rgb="FFFFFF99"/>
        <bgColor rgb="FFFFFF9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1" numFmtId="0" xfId="0" applyAlignment="1" applyBorder="1" applyFill="1" applyFont="1">
      <alignment shrinkToFit="0" vertical="top" wrapText="1"/>
    </xf>
    <xf borderId="0" fillId="0" fontId="2" numFmtId="0" xfId="0" applyAlignment="1" applyFont="1">
      <alignment readingOrder="0" shrinkToFit="0" vertical="bottom" wrapText="0"/>
    </xf>
    <xf borderId="0" fillId="0" fontId="2" numFmtId="0" xfId="0" applyAlignment="1" applyFont="1">
      <alignment shrinkToFit="0" vertical="top" wrapText="1"/>
    </xf>
    <xf borderId="1" fillId="3" fontId="2" numFmtId="0" xfId="0" applyAlignment="1" applyBorder="1" applyFill="1" applyFont="1">
      <alignment readingOrder="0"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0</v>
      </c>
    </row>
    <row r="2">
      <c r="A2" s="2"/>
    </row>
    <row r="3">
      <c r="A3" s="1" t="s">
        <v>3</v>
      </c>
    </row>
    <row r="4">
      <c r="A4" s="2" t="s">
        <v>4</v>
      </c>
    </row>
    <row r="5">
      <c r="A5" s="2" t="s">
        <v>5</v>
      </c>
    </row>
    <row r="6">
      <c r="A6" s="2" t="s">
        <v>6</v>
      </c>
    </row>
    <row r="7">
      <c r="A7" s="2" t="s">
        <v>8</v>
      </c>
    </row>
    <row r="8">
      <c r="A8" s="4" t="s">
        <v>13</v>
      </c>
    </row>
    <row r="9">
      <c r="A9" s="2"/>
    </row>
    <row r="10">
      <c r="A10" s="1" t="s">
        <v>18</v>
      </c>
    </row>
    <row r="11">
      <c r="A11" s="2" t="s">
        <v>20</v>
      </c>
    </row>
    <row r="12">
      <c r="A12" s="2" t="s">
        <v>23</v>
      </c>
    </row>
    <row r="13">
      <c r="A13" s="2" t="s">
        <v>26</v>
      </c>
    </row>
    <row r="14">
      <c r="A14" s="2" t="s">
        <v>27</v>
      </c>
    </row>
    <row r="15">
      <c r="A15" s="2"/>
    </row>
    <row r="16">
      <c r="A16" s="1" t="s">
        <v>29</v>
      </c>
    </row>
    <row r="17">
      <c r="A17" s="2" t="s">
        <v>31</v>
      </c>
    </row>
    <row r="18">
      <c r="A18" s="2" t="s">
        <v>33</v>
      </c>
    </row>
    <row r="19">
      <c r="A19" s="2"/>
    </row>
    <row r="20">
      <c r="A20" s="1" t="s">
        <v>35</v>
      </c>
    </row>
    <row r="21" ht="15.75" customHeight="1">
      <c r="A21" s="2" t="s">
        <v>37</v>
      </c>
      <c r="B21" s="2">
        <f>ROWS(Labels!F2:F131)</f>
        <v>130</v>
      </c>
    </row>
    <row r="22" ht="15.75" customHeight="1">
      <c r="A22" s="2" t="s">
        <v>56</v>
      </c>
      <c r="B22" s="2">
        <f>COUNTIF(Labels!F2:F131,"CLAIM")</f>
        <v>30</v>
      </c>
    </row>
    <row r="23" ht="15.75" customHeight="1">
      <c r="A23" s="2" t="s">
        <v>41</v>
      </c>
      <c r="B23" s="2">
        <f>COUNTIF(Labels!F2:F131,"BACKGROUND")</f>
        <v>100</v>
      </c>
    </row>
    <row r="24" ht="15.75" customHeight="1">
      <c r="A24" s="2" t="s">
        <v>72</v>
      </c>
      <c r="B24" s="2">
        <f>COUNTBLANK(Labels!F2:F131)</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3.0"/>
    <col customWidth="1" min="3" max="3" width="11.0"/>
    <col customWidth="1" min="4" max="4" width="20.0"/>
    <col customWidth="1" min="5" max="5" width="90.0"/>
    <col customWidth="1" min="6" max="6" width="14.0"/>
    <col customWidth="1" min="7" max="7" width="40.0"/>
    <col customWidth="1" min="8" max="26" width="8.71"/>
  </cols>
  <sheetData>
    <row r="1">
      <c r="A1" s="3" t="s">
        <v>1</v>
      </c>
      <c r="B1" s="3" t="s">
        <v>2</v>
      </c>
      <c r="C1" s="3" t="s">
        <v>7</v>
      </c>
      <c r="D1" s="3" t="s">
        <v>9</v>
      </c>
      <c r="E1" s="3" t="s">
        <v>11</v>
      </c>
      <c r="F1" s="3" t="s">
        <v>12</v>
      </c>
      <c r="G1" s="3" t="s">
        <v>15</v>
      </c>
    </row>
    <row r="2">
      <c r="A2" s="5" t="s">
        <v>17</v>
      </c>
      <c r="B2" s="5" t="s">
        <v>19</v>
      </c>
      <c r="C2" s="5" t="s">
        <v>21</v>
      </c>
      <c r="D2" s="5" t="s">
        <v>22</v>
      </c>
      <c r="E2" s="5" t="s">
        <v>24</v>
      </c>
      <c r="F2" s="6" t="s">
        <v>41</v>
      </c>
      <c r="G2" s="7"/>
    </row>
    <row r="3">
      <c r="A3" s="5" t="s">
        <v>17</v>
      </c>
      <c r="B3" s="5" t="s">
        <v>19</v>
      </c>
      <c r="C3" s="5" t="s">
        <v>47</v>
      </c>
      <c r="D3" s="5" t="s">
        <v>22</v>
      </c>
      <c r="E3" s="5" t="s">
        <v>48</v>
      </c>
      <c r="F3" s="6" t="s">
        <v>41</v>
      </c>
      <c r="G3" s="7"/>
    </row>
    <row r="4">
      <c r="A4" s="5" t="s">
        <v>17</v>
      </c>
      <c r="B4" s="5" t="s">
        <v>19</v>
      </c>
      <c r="C4" s="5" t="s">
        <v>49</v>
      </c>
      <c r="D4" s="5" t="s">
        <v>22</v>
      </c>
      <c r="E4" s="5" t="s">
        <v>50</v>
      </c>
      <c r="F4" s="6" t="s">
        <v>41</v>
      </c>
      <c r="G4" s="7"/>
    </row>
    <row r="5">
      <c r="A5" s="5" t="s">
        <v>17</v>
      </c>
      <c r="B5" s="5" t="s">
        <v>19</v>
      </c>
      <c r="C5" s="5" t="s">
        <v>51</v>
      </c>
      <c r="D5" s="5" t="s">
        <v>22</v>
      </c>
      <c r="E5" s="5" t="s">
        <v>52</v>
      </c>
      <c r="F5" s="6" t="s">
        <v>41</v>
      </c>
      <c r="G5" s="7"/>
    </row>
    <row r="6">
      <c r="A6" s="5" t="s">
        <v>17</v>
      </c>
      <c r="B6" s="5" t="s">
        <v>19</v>
      </c>
      <c r="C6" s="5" t="s">
        <v>53</v>
      </c>
      <c r="D6" s="5" t="s">
        <v>54</v>
      </c>
      <c r="E6" s="5" t="s">
        <v>55</v>
      </c>
      <c r="F6" s="6" t="s">
        <v>56</v>
      </c>
      <c r="G6" s="6" t="s">
        <v>57</v>
      </c>
    </row>
    <row r="7">
      <c r="A7" s="5" t="s">
        <v>17</v>
      </c>
      <c r="B7" s="5" t="s">
        <v>19</v>
      </c>
      <c r="C7" s="5" t="s">
        <v>58</v>
      </c>
      <c r="D7" s="5" t="s">
        <v>54</v>
      </c>
      <c r="E7" s="5" t="s">
        <v>59</v>
      </c>
      <c r="F7" s="6" t="s">
        <v>56</v>
      </c>
      <c r="G7" s="6" t="s">
        <v>57</v>
      </c>
    </row>
    <row r="8">
      <c r="A8" s="5" t="s">
        <v>17</v>
      </c>
      <c r="B8" s="5" t="s">
        <v>19</v>
      </c>
      <c r="C8" s="5" t="s">
        <v>60</v>
      </c>
      <c r="D8" s="5" t="s">
        <v>54</v>
      </c>
      <c r="E8" s="5" t="s">
        <v>61</v>
      </c>
      <c r="F8" s="6" t="s">
        <v>56</v>
      </c>
      <c r="G8" s="6" t="s">
        <v>57</v>
      </c>
    </row>
    <row r="9">
      <c r="A9" s="5" t="s">
        <v>17</v>
      </c>
      <c r="B9" s="5" t="s">
        <v>19</v>
      </c>
      <c r="C9" s="5" t="s">
        <v>62</v>
      </c>
      <c r="D9" s="5" t="s">
        <v>54</v>
      </c>
      <c r="E9" s="5" t="s">
        <v>63</v>
      </c>
      <c r="F9" s="6" t="s">
        <v>41</v>
      </c>
      <c r="G9" s="7"/>
    </row>
    <row r="10">
      <c r="A10" s="5" t="s">
        <v>17</v>
      </c>
      <c r="B10" s="5" t="s">
        <v>19</v>
      </c>
      <c r="C10" s="5" t="s">
        <v>64</v>
      </c>
      <c r="D10" s="5" t="s">
        <v>54</v>
      </c>
      <c r="E10" s="5" t="s">
        <v>65</v>
      </c>
      <c r="F10" s="6" t="s">
        <v>41</v>
      </c>
      <c r="G10" s="7"/>
    </row>
    <row r="11">
      <c r="A11" s="5" t="s">
        <v>17</v>
      </c>
      <c r="B11" s="5" t="s">
        <v>19</v>
      </c>
      <c r="C11" s="5" t="s">
        <v>66</v>
      </c>
      <c r="D11" s="5" t="s">
        <v>54</v>
      </c>
      <c r="E11" s="5" t="s">
        <v>67</v>
      </c>
      <c r="F11" s="6" t="s">
        <v>41</v>
      </c>
      <c r="G11" s="7"/>
    </row>
    <row r="12">
      <c r="A12" s="5" t="s">
        <v>17</v>
      </c>
      <c r="B12" s="5" t="s">
        <v>19</v>
      </c>
      <c r="C12" s="5" t="s">
        <v>68</v>
      </c>
      <c r="D12" s="5" t="s">
        <v>54</v>
      </c>
      <c r="E12" s="5" t="s">
        <v>69</v>
      </c>
      <c r="F12" s="6" t="s">
        <v>41</v>
      </c>
      <c r="G12" s="7"/>
    </row>
    <row r="13">
      <c r="A13" s="5" t="s">
        <v>17</v>
      </c>
      <c r="B13" s="5" t="s">
        <v>19</v>
      </c>
      <c r="C13" s="5" t="s">
        <v>70</v>
      </c>
      <c r="D13" s="5" t="s">
        <v>71</v>
      </c>
      <c r="E13" s="5" t="s">
        <v>73</v>
      </c>
      <c r="F13" s="6" t="s">
        <v>41</v>
      </c>
      <c r="G13" s="7"/>
    </row>
    <row r="14">
      <c r="A14" s="5" t="s">
        <v>17</v>
      </c>
      <c r="B14" s="5" t="s">
        <v>19</v>
      </c>
      <c r="C14" s="5" t="s">
        <v>74</v>
      </c>
      <c r="D14" s="5" t="s">
        <v>71</v>
      </c>
      <c r="E14" s="5" t="s">
        <v>75</v>
      </c>
      <c r="F14" s="6" t="s">
        <v>56</v>
      </c>
      <c r="G14" s="6" t="s">
        <v>76</v>
      </c>
    </row>
    <row r="15">
      <c r="A15" s="5" t="s">
        <v>17</v>
      </c>
      <c r="B15" s="5" t="s">
        <v>19</v>
      </c>
      <c r="C15" s="5" t="s">
        <v>77</v>
      </c>
      <c r="D15" s="5" t="s">
        <v>71</v>
      </c>
      <c r="E15" s="5" t="s">
        <v>78</v>
      </c>
      <c r="F15" s="6" t="s">
        <v>56</v>
      </c>
      <c r="G15" s="6" t="s">
        <v>76</v>
      </c>
    </row>
    <row r="16">
      <c r="A16" s="5" t="s">
        <v>17</v>
      </c>
      <c r="B16" s="5" t="s">
        <v>19</v>
      </c>
      <c r="C16" s="5" t="s">
        <v>79</v>
      </c>
      <c r="D16" s="5" t="s">
        <v>80</v>
      </c>
      <c r="E16" s="5" t="s">
        <v>81</v>
      </c>
      <c r="F16" s="6" t="s">
        <v>56</v>
      </c>
      <c r="G16" s="6" t="s">
        <v>76</v>
      </c>
    </row>
    <row r="17">
      <c r="A17" s="5" t="s">
        <v>17</v>
      </c>
      <c r="B17" s="5" t="s">
        <v>19</v>
      </c>
      <c r="C17" s="5" t="s">
        <v>82</v>
      </c>
      <c r="D17" s="5" t="s">
        <v>80</v>
      </c>
      <c r="E17" s="5" t="s">
        <v>83</v>
      </c>
      <c r="F17" s="6" t="s">
        <v>56</v>
      </c>
      <c r="G17" s="6" t="s">
        <v>76</v>
      </c>
    </row>
    <row r="18">
      <c r="A18" s="5" t="s">
        <v>17</v>
      </c>
      <c r="B18" s="5" t="s">
        <v>19</v>
      </c>
      <c r="C18" s="5" t="s">
        <v>84</v>
      </c>
      <c r="D18" s="5" t="s">
        <v>80</v>
      </c>
      <c r="E18" s="5" t="s">
        <v>85</v>
      </c>
      <c r="F18" s="6" t="s">
        <v>56</v>
      </c>
      <c r="G18" s="6" t="s">
        <v>86</v>
      </c>
    </row>
    <row r="19">
      <c r="A19" s="5" t="s">
        <v>17</v>
      </c>
      <c r="B19" s="5" t="s">
        <v>19</v>
      </c>
      <c r="C19" s="5" t="s">
        <v>87</v>
      </c>
      <c r="D19" s="5" t="s">
        <v>88</v>
      </c>
      <c r="E19" s="5" t="s">
        <v>89</v>
      </c>
      <c r="F19" s="6" t="s">
        <v>41</v>
      </c>
      <c r="G19" s="7"/>
    </row>
    <row r="20">
      <c r="A20" s="5" t="s">
        <v>17</v>
      </c>
      <c r="B20" s="5" t="s">
        <v>19</v>
      </c>
      <c r="C20" s="5" t="s">
        <v>90</v>
      </c>
      <c r="D20" s="5" t="s">
        <v>88</v>
      </c>
      <c r="E20" s="5" t="s">
        <v>91</v>
      </c>
      <c r="F20" s="6" t="s">
        <v>41</v>
      </c>
      <c r="G20" s="7"/>
    </row>
    <row r="21" ht="15.75" customHeight="1">
      <c r="A21" s="5" t="s">
        <v>17</v>
      </c>
      <c r="B21" s="5" t="s">
        <v>19</v>
      </c>
      <c r="C21" s="5" t="s">
        <v>92</v>
      </c>
      <c r="D21" s="5" t="s">
        <v>88</v>
      </c>
      <c r="E21" s="5" t="s">
        <v>93</v>
      </c>
      <c r="F21" s="6" t="s">
        <v>41</v>
      </c>
      <c r="G21" s="7"/>
    </row>
    <row r="22" ht="15.75" customHeight="1">
      <c r="A22" s="5" t="s">
        <v>17</v>
      </c>
      <c r="B22" s="5" t="s">
        <v>19</v>
      </c>
      <c r="C22" s="5" t="s">
        <v>94</v>
      </c>
      <c r="D22" s="5" t="s">
        <v>88</v>
      </c>
      <c r="E22" s="5" t="s">
        <v>95</v>
      </c>
      <c r="F22" s="6" t="s">
        <v>41</v>
      </c>
      <c r="G22" s="7"/>
    </row>
    <row r="23" ht="15.75" customHeight="1">
      <c r="A23" s="5" t="s">
        <v>17</v>
      </c>
      <c r="B23" s="5" t="s">
        <v>19</v>
      </c>
      <c r="C23" s="5" t="s">
        <v>96</v>
      </c>
      <c r="D23" s="5" t="s">
        <v>88</v>
      </c>
      <c r="E23" s="5" t="s">
        <v>97</v>
      </c>
      <c r="F23" s="6" t="s">
        <v>41</v>
      </c>
      <c r="G23" s="7"/>
    </row>
    <row r="24" ht="15.75" customHeight="1">
      <c r="A24" s="5" t="s">
        <v>17</v>
      </c>
      <c r="B24" s="5" t="s">
        <v>19</v>
      </c>
      <c r="C24" s="5" t="s">
        <v>98</v>
      </c>
      <c r="D24" s="5" t="s">
        <v>88</v>
      </c>
      <c r="E24" s="5" t="s">
        <v>99</v>
      </c>
      <c r="F24" s="6" t="s">
        <v>41</v>
      </c>
      <c r="G24" s="7"/>
    </row>
    <row r="25" ht="15.75" customHeight="1">
      <c r="A25" s="5" t="s">
        <v>17</v>
      </c>
      <c r="B25" s="5" t="s">
        <v>19</v>
      </c>
      <c r="C25" s="5" t="s">
        <v>100</v>
      </c>
      <c r="D25" s="5" t="s">
        <v>88</v>
      </c>
      <c r="E25" s="5" t="s">
        <v>101</v>
      </c>
      <c r="F25" s="6" t="s">
        <v>41</v>
      </c>
      <c r="G25" s="7"/>
    </row>
    <row r="26" ht="15.75" customHeight="1">
      <c r="A26" s="5" t="s">
        <v>17</v>
      </c>
      <c r="B26" s="5" t="s">
        <v>19</v>
      </c>
      <c r="C26" s="5" t="s">
        <v>102</v>
      </c>
      <c r="D26" s="5" t="s">
        <v>88</v>
      </c>
      <c r="E26" s="5" t="s">
        <v>103</v>
      </c>
      <c r="F26" s="6" t="s">
        <v>41</v>
      </c>
      <c r="G26" s="7"/>
    </row>
    <row r="27" ht="15.75" customHeight="1">
      <c r="A27" s="5" t="s">
        <v>17</v>
      </c>
      <c r="B27" s="5" t="s">
        <v>19</v>
      </c>
      <c r="C27" s="5" t="s">
        <v>104</v>
      </c>
      <c r="D27" s="5" t="s">
        <v>88</v>
      </c>
      <c r="E27" s="5" t="s">
        <v>105</v>
      </c>
      <c r="F27" s="6" t="s">
        <v>41</v>
      </c>
      <c r="G27" s="7"/>
    </row>
    <row r="28" ht="15.75" customHeight="1">
      <c r="A28" s="5" t="s">
        <v>17</v>
      </c>
      <c r="B28" s="5" t="s">
        <v>19</v>
      </c>
      <c r="C28" s="5" t="s">
        <v>106</v>
      </c>
      <c r="D28" s="5" t="s">
        <v>88</v>
      </c>
      <c r="E28" s="5" t="s">
        <v>107</v>
      </c>
      <c r="F28" s="6" t="s">
        <v>41</v>
      </c>
      <c r="G28" s="7"/>
    </row>
    <row r="29" ht="15.75" customHeight="1">
      <c r="A29" s="5" t="s">
        <v>17</v>
      </c>
      <c r="B29" s="5" t="s">
        <v>19</v>
      </c>
      <c r="C29" s="5" t="s">
        <v>108</v>
      </c>
      <c r="D29" s="5" t="s">
        <v>88</v>
      </c>
      <c r="E29" s="5" t="s">
        <v>109</v>
      </c>
      <c r="F29" s="6" t="s">
        <v>41</v>
      </c>
      <c r="G29" s="7"/>
    </row>
    <row r="30" ht="15.75" customHeight="1">
      <c r="A30" s="5" t="s">
        <v>17</v>
      </c>
      <c r="B30" s="5" t="s">
        <v>19</v>
      </c>
      <c r="C30" s="5" t="s">
        <v>110</v>
      </c>
      <c r="D30" s="5" t="s">
        <v>88</v>
      </c>
      <c r="E30" s="5" t="s">
        <v>111</v>
      </c>
      <c r="F30" s="6" t="s">
        <v>41</v>
      </c>
      <c r="G30" s="7"/>
    </row>
    <row r="31" ht="15.75" customHeight="1">
      <c r="A31" s="5" t="s">
        <v>17</v>
      </c>
      <c r="B31" s="5" t="s">
        <v>19</v>
      </c>
      <c r="C31" s="5" t="s">
        <v>112</v>
      </c>
      <c r="D31" s="5" t="s">
        <v>88</v>
      </c>
      <c r="E31" s="5" t="s">
        <v>113</v>
      </c>
      <c r="F31" s="6" t="s">
        <v>41</v>
      </c>
      <c r="G31" s="7"/>
    </row>
    <row r="32" ht="15.75" customHeight="1">
      <c r="A32" s="5" t="s">
        <v>17</v>
      </c>
      <c r="B32" s="5" t="s">
        <v>19</v>
      </c>
      <c r="C32" s="5" t="s">
        <v>114</v>
      </c>
      <c r="D32" s="5" t="s">
        <v>88</v>
      </c>
      <c r="E32" s="5" t="s">
        <v>115</v>
      </c>
      <c r="F32" s="6" t="s">
        <v>41</v>
      </c>
      <c r="G32" s="7"/>
    </row>
    <row r="33" ht="15.75" customHeight="1">
      <c r="A33" s="5" t="s">
        <v>17</v>
      </c>
      <c r="B33" s="5" t="s">
        <v>19</v>
      </c>
      <c r="C33" s="5" t="s">
        <v>116</v>
      </c>
      <c r="D33" s="5" t="s">
        <v>88</v>
      </c>
      <c r="E33" s="5" t="s">
        <v>117</v>
      </c>
      <c r="F33" s="6" t="s">
        <v>41</v>
      </c>
      <c r="G33" s="7"/>
    </row>
    <row r="34" ht="15.75" customHeight="1">
      <c r="A34" s="5" t="s">
        <v>17</v>
      </c>
      <c r="B34" s="5" t="s">
        <v>19</v>
      </c>
      <c r="C34" s="5" t="s">
        <v>118</v>
      </c>
      <c r="D34" s="5" t="s">
        <v>88</v>
      </c>
      <c r="E34" s="5" t="s">
        <v>119</v>
      </c>
      <c r="F34" s="6" t="s">
        <v>41</v>
      </c>
      <c r="G34" s="7"/>
    </row>
    <row r="35" ht="15.75" customHeight="1">
      <c r="A35" s="5" t="s">
        <v>17</v>
      </c>
      <c r="B35" s="5" t="s">
        <v>19</v>
      </c>
      <c r="C35" s="5" t="s">
        <v>120</v>
      </c>
      <c r="D35" s="5" t="s">
        <v>88</v>
      </c>
      <c r="E35" s="5" t="s">
        <v>121</v>
      </c>
      <c r="F35" s="6" t="s">
        <v>41</v>
      </c>
      <c r="G35" s="7"/>
    </row>
    <row r="36" ht="15.75" customHeight="1">
      <c r="A36" s="5" t="s">
        <v>17</v>
      </c>
      <c r="B36" s="5" t="s">
        <v>19</v>
      </c>
      <c r="C36" s="5" t="s">
        <v>122</v>
      </c>
      <c r="D36" s="5" t="s">
        <v>88</v>
      </c>
      <c r="E36" s="5" t="s">
        <v>123</v>
      </c>
      <c r="F36" s="6" t="s">
        <v>41</v>
      </c>
      <c r="G36" s="7"/>
    </row>
    <row r="37" ht="15.75" customHeight="1">
      <c r="A37" s="5" t="s">
        <v>17</v>
      </c>
      <c r="B37" s="5" t="s">
        <v>19</v>
      </c>
      <c r="C37" s="5" t="s">
        <v>124</v>
      </c>
      <c r="D37" s="5" t="s">
        <v>88</v>
      </c>
      <c r="E37" s="5" t="s">
        <v>125</v>
      </c>
      <c r="F37" s="6" t="s">
        <v>41</v>
      </c>
      <c r="G37" s="7"/>
    </row>
    <row r="38" ht="15.75" customHeight="1">
      <c r="A38" s="5" t="s">
        <v>17</v>
      </c>
      <c r="B38" s="5" t="s">
        <v>19</v>
      </c>
      <c r="C38" s="5" t="s">
        <v>126</v>
      </c>
      <c r="D38" s="5" t="s">
        <v>88</v>
      </c>
      <c r="E38" s="5" t="s">
        <v>127</v>
      </c>
      <c r="F38" s="6" t="s">
        <v>41</v>
      </c>
      <c r="G38" s="7"/>
    </row>
    <row r="39" ht="15.75" customHeight="1">
      <c r="A39" s="5" t="s">
        <v>17</v>
      </c>
      <c r="B39" s="5" t="s">
        <v>19</v>
      </c>
      <c r="C39" s="5" t="s">
        <v>128</v>
      </c>
      <c r="D39" s="5" t="s">
        <v>88</v>
      </c>
      <c r="E39" s="5" t="s">
        <v>129</v>
      </c>
      <c r="F39" s="6" t="s">
        <v>41</v>
      </c>
      <c r="G39" s="7"/>
    </row>
    <row r="40" ht="15.75" customHeight="1">
      <c r="A40" s="5" t="s">
        <v>17</v>
      </c>
      <c r="B40" s="5" t="s">
        <v>19</v>
      </c>
      <c r="C40" s="5" t="s">
        <v>130</v>
      </c>
      <c r="D40" s="5" t="s">
        <v>88</v>
      </c>
      <c r="E40" s="5" t="s">
        <v>131</v>
      </c>
      <c r="F40" s="6" t="s">
        <v>56</v>
      </c>
      <c r="G40" s="6" t="s">
        <v>57</v>
      </c>
    </row>
    <row r="41" ht="15.75" customHeight="1">
      <c r="A41" s="5" t="s">
        <v>17</v>
      </c>
      <c r="B41" s="5" t="s">
        <v>19</v>
      </c>
      <c r="C41" s="5" t="s">
        <v>132</v>
      </c>
      <c r="D41" s="5" t="s">
        <v>88</v>
      </c>
      <c r="E41" s="5" t="s">
        <v>133</v>
      </c>
      <c r="F41" s="6" t="s">
        <v>56</v>
      </c>
      <c r="G41" s="6" t="s">
        <v>57</v>
      </c>
    </row>
    <row r="42" ht="15.75" customHeight="1">
      <c r="A42" s="5" t="s">
        <v>17</v>
      </c>
      <c r="B42" s="5" t="s">
        <v>19</v>
      </c>
      <c r="C42" s="5" t="s">
        <v>134</v>
      </c>
      <c r="D42" s="5" t="s">
        <v>88</v>
      </c>
      <c r="E42" s="5" t="s">
        <v>135</v>
      </c>
      <c r="F42" s="6" t="s">
        <v>56</v>
      </c>
      <c r="G42" s="6" t="s">
        <v>57</v>
      </c>
    </row>
    <row r="43" ht="15.75" customHeight="1">
      <c r="A43" s="5" t="s">
        <v>17</v>
      </c>
      <c r="B43" s="5" t="s">
        <v>19</v>
      </c>
      <c r="C43" s="5" t="s">
        <v>136</v>
      </c>
      <c r="D43" s="5" t="s">
        <v>88</v>
      </c>
      <c r="E43" s="5" t="s">
        <v>137</v>
      </c>
      <c r="F43" s="6" t="s">
        <v>56</v>
      </c>
      <c r="G43" s="6" t="s">
        <v>57</v>
      </c>
    </row>
    <row r="44" ht="15.75" customHeight="1">
      <c r="A44" s="5" t="s">
        <v>17</v>
      </c>
      <c r="B44" s="5" t="s">
        <v>19</v>
      </c>
      <c r="C44" s="5" t="s">
        <v>138</v>
      </c>
      <c r="D44" s="5" t="s">
        <v>88</v>
      </c>
      <c r="E44" s="5" t="s">
        <v>139</v>
      </c>
      <c r="F44" s="6" t="s">
        <v>56</v>
      </c>
      <c r="G44" s="6" t="s">
        <v>57</v>
      </c>
    </row>
    <row r="45" ht="15.75" customHeight="1">
      <c r="A45" s="5" t="s">
        <v>32</v>
      </c>
      <c r="B45" s="5" t="s">
        <v>30</v>
      </c>
      <c r="C45" s="5" t="s">
        <v>21</v>
      </c>
      <c r="D45" s="5" t="s">
        <v>140</v>
      </c>
      <c r="E45" s="5" t="s">
        <v>141</v>
      </c>
      <c r="F45" s="6" t="s">
        <v>41</v>
      </c>
      <c r="G45" s="7"/>
    </row>
    <row r="46" ht="15.75" customHeight="1">
      <c r="A46" s="5" t="s">
        <v>32</v>
      </c>
      <c r="B46" s="5" t="s">
        <v>30</v>
      </c>
      <c r="C46" s="5" t="s">
        <v>47</v>
      </c>
      <c r="D46" s="5" t="s">
        <v>140</v>
      </c>
      <c r="E46" s="5" t="s">
        <v>142</v>
      </c>
      <c r="F46" s="6" t="s">
        <v>41</v>
      </c>
      <c r="G46" s="7"/>
    </row>
    <row r="47" ht="15.75" customHeight="1">
      <c r="A47" s="5" t="s">
        <v>32</v>
      </c>
      <c r="B47" s="5" t="s">
        <v>30</v>
      </c>
      <c r="C47" s="5" t="s">
        <v>49</v>
      </c>
      <c r="D47" s="5" t="s">
        <v>140</v>
      </c>
      <c r="E47" s="5" t="s">
        <v>143</v>
      </c>
      <c r="F47" s="6" t="s">
        <v>56</v>
      </c>
      <c r="G47" s="7"/>
    </row>
    <row r="48" ht="15.75" customHeight="1">
      <c r="A48" s="5" t="s">
        <v>32</v>
      </c>
      <c r="B48" s="5" t="s">
        <v>30</v>
      </c>
      <c r="C48" s="5" t="s">
        <v>51</v>
      </c>
      <c r="D48" s="5" t="s">
        <v>140</v>
      </c>
      <c r="E48" s="5" t="s">
        <v>144</v>
      </c>
      <c r="F48" s="6" t="s">
        <v>41</v>
      </c>
      <c r="G48" s="7"/>
    </row>
    <row r="49" ht="15.75" customHeight="1">
      <c r="A49" s="5" t="s">
        <v>32</v>
      </c>
      <c r="B49" s="5" t="s">
        <v>30</v>
      </c>
      <c r="C49" s="5" t="s">
        <v>53</v>
      </c>
      <c r="D49" s="5" t="s">
        <v>140</v>
      </c>
      <c r="E49" s="5" t="s">
        <v>145</v>
      </c>
      <c r="F49" s="6" t="s">
        <v>41</v>
      </c>
      <c r="G49" s="7"/>
    </row>
    <row r="50" ht="15.75" customHeight="1">
      <c r="A50" s="5" t="s">
        <v>32</v>
      </c>
      <c r="B50" s="5" t="s">
        <v>30</v>
      </c>
      <c r="C50" s="5" t="s">
        <v>58</v>
      </c>
      <c r="D50" s="5" t="s">
        <v>140</v>
      </c>
      <c r="E50" s="5" t="s">
        <v>146</v>
      </c>
      <c r="F50" s="6" t="s">
        <v>56</v>
      </c>
      <c r="G50" s="6" t="s">
        <v>76</v>
      </c>
    </row>
    <row r="51" ht="15.75" customHeight="1">
      <c r="A51" s="5" t="s">
        <v>32</v>
      </c>
      <c r="B51" s="5" t="s">
        <v>30</v>
      </c>
      <c r="C51" s="5" t="s">
        <v>60</v>
      </c>
      <c r="D51" s="5" t="s">
        <v>140</v>
      </c>
      <c r="E51" s="5" t="s">
        <v>147</v>
      </c>
      <c r="F51" s="6" t="s">
        <v>56</v>
      </c>
      <c r="G51" s="6" t="s">
        <v>76</v>
      </c>
    </row>
    <row r="52" ht="15.75" customHeight="1">
      <c r="A52" s="5" t="s">
        <v>32</v>
      </c>
      <c r="B52" s="5" t="s">
        <v>30</v>
      </c>
      <c r="C52" s="5" t="s">
        <v>62</v>
      </c>
      <c r="D52" s="5" t="s">
        <v>140</v>
      </c>
      <c r="E52" s="5" t="s">
        <v>148</v>
      </c>
      <c r="F52" s="6" t="s">
        <v>41</v>
      </c>
      <c r="G52" s="7"/>
    </row>
    <row r="53" ht="15.75" customHeight="1">
      <c r="A53" s="5" t="s">
        <v>32</v>
      </c>
      <c r="B53" s="5" t="s">
        <v>30</v>
      </c>
      <c r="C53" s="5" t="s">
        <v>64</v>
      </c>
      <c r="D53" s="5" t="s">
        <v>88</v>
      </c>
      <c r="E53" s="5" t="s">
        <v>149</v>
      </c>
      <c r="F53" s="6" t="s">
        <v>41</v>
      </c>
      <c r="G53" s="7"/>
    </row>
    <row r="54" ht="15.75" customHeight="1">
      <c r="A54" s="5" t="s">
        <v>32</v>
      </c>
      <c r="B54" s="5" t="s">
        <v>30</v>
      </c>
      <c r="C54" s="5" t="s">
        <v>66</v>
      </c>
      <c r="D54" s="5" t="s">
        <v>88</v>
      </c>
      <c r="E54" s="5" t="s">
        <v>150</v>
      </c>
      <c r="F54" s="6" t="s">
        <v>41</v>
      </c>
      <c r="G54" s="7"/>
    </row>
    <row r="55" ht="15.75" customHeight="1">
      <c r="A55" s="5" t="s">
        <v>32</v>
      </c>
      <c r="B55" s="5" t="s">
        <v>30</v>
      </c>
      <c r="C55" s="5" t="s">
        <v>68</v>
      </c>
      <c r="D55" s="5" t="s">
        <v>88</v>
      </c>
      <c r="E55" s="5" t="s">
        <v>151</v>
      </c>
      <c r="F55" s="6" t="s">
        <v>41</v>
      </c>
      <c r="G55" s="7"/>
    </row>
    <row r="56" ht="15.75" customHeight="1">
      <c r="A56" s="5" t="s">
        <v>32</v>
      </c>
      <c r="B56" s="5" t="s">
        <v>30</v>
      </c>
      <c r="C56" s="5" t="s">
        <v>70</v>
      </c>
      <c r="D56" s="5" t="s">
        <v>88</v>
      </c>
      <c r="E56" s="5" t="s">
        <v>152</v>
      </c>
      <c r="F56" s="6" t="s">
        <v>41</v>
      </c>
      <c r="G56" s="7"/>
    </row>
    <row r="57" ht="15.75" customHeight="1">
      <c r="A57" s="5" t="s">
        <v>32</v>
      </c>
      <c r="B57" s="5" t="s">
        <v>30</v>
      </c>
      <c r="C57" s="5" t="s">
        <v>74</v>
      </c>
      <c r="D57" s="5" t="s">
        <v>88</v>
      </c>
      <c r="E57" s="5" t="s">
        <v>153</v>
      </c>
      <c r="F57" s="6" t="s">
        <v>41</v>
      </c>
      <c r="G57" s="7"/>
    </row>
    <row r="58" ht="15.75" customHeight="1">
      <c r="A58" s="5" t="s">
        <v>32</v>
      </c>
      <c r="B58" s="5" t="s">
        <v>30</v>
      </c>
      <c r="C58" s="5" t="s">
        <v>77</v>
      </c>
      <c r="D58" s="5" t="s">
        <v>88</v>
      </c>
      <c r="E58" s="5" t="s">
        <v>154</v>
      </c>
      <c r="F58" s="6" t="s">
        <v>41</v>
      </c>
      <c r="G58" s="7"/>
    </row>
    <row r="59" ht="15.75" customHeight="1">
      <c r="A59" s="5" t="s">
        <v>32</v>
      </c>
      <c r="B59" s="5" t="s">
        <v>30</v>
      </c>
      <c r="C59" s="5" t="s">
        <v>79</v>
      </c>
      <c r="D59" s="5" t="s">
        <v>88</v>
      </c>
      <c r="E59" s="5" t="s">
        <v>155</v>
      </c>
      <c r="F59" s="6" t="s">
        <v>41</v>
      </c>
      <c r="G59" s="7"/>
    </row>
    <row r="60" ht="15.75" customHeight="1">
      <c r="A60" s="5" t="s">
        <v>32</v>
      </c>
      <c r="B60" s="5" t="s">
        <v>30</v>
      </c>
      <c r="C60" s="5" t="s">
        <v>82</v>
      </c>
      <c r="D60" s="5" t="s">
        <v>88</v>
      </c>
      <c r="E60" s="5" t="s">
        <v>156</v>
      </c>
      <c r="F60" s="6" t="s">
        <v>41</v>
      </c>
      <c r="G60" s="7"/>
    </row>
    <row r="61" ht="15.75" customHeight="1">
      <c r="A61" s="5" t="s">
        <v>32</v>
      </c>
      <c r="B61" s="5" t="s">
        <v>30</v>
      </c>
      <c r="C61" s="5" t="s">
        <v>84</v>
      </c>
      <c r="D61" s="5" t="s">
        <v>88</v>
      </c>
      <c r="E61" s="5" t="s">
        <v>157</v>
      </c>
      <c r="F61" s="6" t="s">
        <v>41</v>
      </c>
      <c r="G61" s="7"/>
    </row>
    <row r="62" ht="15.75" customHeight="1">
      <c r="A62" s="5" t="s">
        <v>32</v>
      </c>
      <c r="B62" s="5" t="s">
        <v>30</v>
      </c>
      <c r="C62" s="5" t="s">
        <v>87</v>
      </c>
      <c r="D62" s="5" t="s">
        <v>88</v>
      </c>
      <c r="E62" s="5" t="s">
        <v>158</v>
      </c>
      <c r="F62" s="6" t="s">
        <v>41</v>
      </c>
      <c r="G62" s="7"/>
    </row>
    <row r="63" ht="15.75" customHeight="1">
      <c r="A63" s="5" t="s">
        <v>32</v>
      </c>
      <c r="B63" s="5" t="s">
        <v>30</v>
      </c>
      <c r="C63" s="5" t="s">
        <v>90</v>
      </c>
      <c r="D63" s="5" t="s">
        <v>88</v>
      </c>
      <c r="E63" s="5" t="s">
        <v>159</v>
      </c>
      <c r="F63" s="6" t="s">
        <v>41</v>
      </c>
      <c r="G63" s="7"/>
    </row>
    <row r="64" ht="15.75" customHeight="1">
      <c r="A64" s="5" t="s">
        <v>32</v>
      </c>
      <c r="B64" s="5" t="s">
        <v>30</v>
      </c>
      <c r="C64" s="5" t="s">
        <v>92</v>
      </c>
      <c r="D64" s="5" t="s">
        <v>88</v>
      </c>
      <c r="E64" s="5" t="s">
        <v>160</v>
      </c>
      <c r="F64" s="6" t="s">
        <v>41</v>
      </c>
      <c r="G64" s="7"/>
    </row>
    <row r="65" ht="15.75" customHeight="1">
      <c r="A65" s="5" t="s">
        <v>32</v>
      </c>
      <c r="B65" s="5" t="s">
        <v>30</v>
      </c>
      <c r="C65" s="5" t="s">
        <v>94</v>
      </c>
      <c r="D65" s="5" t="s">
        <v>88</v>
      </c>
      <c r="E65" s="5" t="s">
        <v>161</v>
      </c>
      <c r="F65" s="6" t="s">
        <v>41</v>
      </c>
      <c r="G65" s="7"/>
    </row>
    <row r="66" ht="15.75" customHeight="1">
      <c r="A66" s="5" t="s">
        <v>32</v>
      </c>
      <c r="B66" s="5" t="s">
        <v>30</v>
      </c>
      <c r="C66" s="5" t="s">
        <v>96</v>
      </c>
      <c r="D66" s="5" t="s">
        <v>88</v>
      </c>
      <c r="E66" s="5" t="s">
        <v>162</v>
      </c>
      <c r="F66" s="6" t="s">
        <v>41</v>
      </c>
      <c r="G66" s="7"/>
    </row>
    <row r="67" ht="15.75" customHeight="1">
      <c r="A67" s="5" t="s">
        <v>32</v>
      </c>
      <c r="B67" s="5" t="s">
        <v>30</v>
      </c>
      <c r="C67" s="5" t="s">
        <v>98</v>
      </c>
      <c r="D67" s="5" t="s">
        <v>88</v>
      </c>
      <c r="E67" s="5" t="s">
        <v>163</v>
      </c>
      <c r="F67" s="6" t="s">
        <v>41</v>
      </c>
      <c r="G67" s="7"/>
    </row>
    <row r="68" ht="15.75" customHeight="1">
      <c r="A68" s="5" t="s">
        <v>32</v>
      </c>
      <c r="B68" s="5" t="s">
        <v>30</v>
      </c>
      <c r="C68" s="5" t="s">
        <v>100</v>
      </c>
      <c r="D68" s="5" t="s">
        <v>88</v>
      </c>
      <c r="E68" s="5" t="s">
        <v>164</v>
      </c>
      <c r="F68" s="6" t="s">
        <v>41</v>
      </c>
      <c r="G68" s="7"/>
    </row>
    <row r="69" ht="15.75" customHeight="1">
      <c r="A69" s="5" t="s">
        <v>32</v>
      </c>
      <c r="B69" s="5" t="s">
        <v>30</v>
      </c>
      <c r="C69" s="5" t="s">
        <v>102</v>
      </c>
      <c r="D69" s="5" t="s">
        <v>88</v>
      </c>
      <c r="E69" s="5" t="s">
        <v>165</v>
      </c>
      <c r="F69" s="6" t="s">
        <v>41</v>
      </c>
      <c r="G69" s="7"/>
    </row>
    <row r="70" ht="15.75" customHeight="1">
      <c r="A70" s="5" t="s">
        <v>32</v>
      </c>
      <c r="B70" s="5" t="s">
        <v>30</v>
      </c>
      <c r="C70" s="5" t="s">
        <v>104</v>
      </c>
      <c r="D70" s="5" t="s">
        <v>88</v>
      </c>
      <c r="E70" s="5" t="s">
        <v>166</v>
      </c>
      <c r="F70" s="6" t="s">
        <v>41</v>
      </c>
      <c r="G70" s="7"/>
    </row>
    <row r="71" ht="15.75" customHeight="1">
      <c r="A71" s="5" t="s">
        <v>32</v>
      </c>
      <c r="B71" s="5" t="s">
        <v>30</v>
      </c>
      <c r="C71" s="5" t="s">
        <v>106</v>
      </c>
      <c r="D71" s="5" t="s">
        <v>88</v>
      </c>
      <c r="E71" s="5" t="s">
        <v>167</v>
      </c>
      <c r="F71" s="6" t="s">
        <v>41</v>
      </c>
      <c r="G71" s="7"/>
    </row>
    <row r="72" ht="15.75" customHeight="1">
      <c r="A72" s="5" t="s">
        <v>32</v>
      </c>
      <c r="B72" s="5" t="s">
        <v>30</v>
      </c>
      <c r="C72" s="5" t="s">
        <v>108</v>
      </c>
      <c r="D72" s="5" t="s">
        <v>88</v>
      </c>
      <c r="E72" s="5" t="s">
        <v>168</v>
      </c>
      <c r="F72" s="6" t="s">
        <v>41</v>
      </c>
      <c r="G72" s="7"/>
    </row>
    <row r="73" ht="15.75" customHeight="1">
      <c r="A73" s="5" t="s">
        <v>32</v>
      </c>
      <c r="B73" s="5" t="s">
        <v>30</v>
      </c>
      <c r="C73" s="5" t="s">
        <v>110</v>
      </c>
      <c r="D73" s="5" t="s">
        <v>88</v>
      </c>
      <c r="E73" s="5" t="s">
        <v>169</v>
      </c>
      <c r="F73" s="6" t="s">
        <v>41</v>
      </c>
      <c r="G73" s="7"/>
    </row>
    <row r="74" ht="15.75" customHeight="1">
      <c r="A74" s="5" t="s">
        <v>32</v>
      </c>
      <c r="B74" s="5" t="s">
        <v>30</v>
      </c>
      <c r="C74" s="5" t="s">
        <v>112</v>
      </c>
      <c r="D74" s="5" t="s">
        <v>88</v>
      </c>
      <c r="E74" s="5" t="s">
        <v>170</v>
      </c>
      <c r="F74" s="6" t="s">
        <v>41</v>
      </c>
      <c r="G74" s="7"/>
    </row>
    <row r="75" ht="15.75" customHeight="1">
      <c r="A75" s="5" t="s">
        <v>32</v>
      </c>
      <c r="B75" s="5" t="s">
        <v>30</v>
      </c>
      <c r="C75" s="5" t="s">
        <v>114</v>
      </c>
      <c r="D75" s="5" t="s">
        <v>88</v>
      </c>
      <c r="E75" s="5" t="s">
        <v>171</v>
      </c>
      <c r="F75" s="6" t="s">
        <v>41</v>
      </c>
      <c r="G75" s="7"/>
    </row>
    <row r="76" ht="15.75" customHeight="1">
      <c r="A76" s="5" t="s">
        <v>32</v>
      </c>
      <c r="B76" s="5" t="s">
        <v>30</v>
      </c>
      <c r="C76" s="5" t="s">
        <v>116</v>
      </c>
      <c r="D76" s="5" t="s">
        <v>88</v>
      </c>
      <c r="E76" s="5" t="s">
        <v>172</v>
      </c>
      <c r="F76" s="6" t="s">
        <v>41</v>
      </c>
      <c r="G76" s="7"/>
    </row>
    <row r="77" ht="15.75" customHeight="1">
      <c r="A77" s="5" t="s">
        <v>32</v>
      </c>
      <c r="B77" s="5" t="s">
        <v>30</v>
      </c>
      <c r="C77" s="5" t="s">
        <v>118</v>
      </c>
      <c r="D77" s="5" t="s">
        <v>88</v>
      </c>
      <c r="E77" s="5" t="s">
        <v>173</v>
      </c>
      <c r="F77" s="6" t="s">
        <v>41</v>
      </c>
      <c r="G77" s="7"/>
    </row>
    <row r="78" ht="15.75" customHeight="1">
      <c r="A78" s="5" t="s">
        <v>32</v>
      </c>
      <c r="B78" s="5" t="s">
        <v>30</v>
      </c>
      <c r="C78" s="5" t="s">
        <v>120</v>
      </c>
      <c r="D78" s="5" t="s">
        <v>88</v>
      </c>
      <c r="E78" s="5" t="s">
        <v>174</v>
      </c>
      <c r="F78" s="6" t="s">
        <v>41</v>
      </c>
      <c r="G78" s="7"/>
    </row>
    <row r="79" ht="15.75" customHeight="1">
      <c r="A79" s="5" t="s">
        <v>32</v>
      </c>
      <c r="B79" s="5" t="s">
        <v>30</v>
      </c>
      <c r="C79" s="5" t="s">
        <v>122</v>
      </c>
      <c r="D79" s="5" t="s">
        <v>88</v>
      </c>
      <c r="E79" s="5" t="s">
        <v>175</v>
      </c>
      <c r="F79" s="6" t="s">
        <v>56</v>
      </c>
      <c r="G79" s="6" t="s">
        <v>57</v>
      </c>
    </row>
    <row r="80" ht="15.75" customHeight="1">
      <c r="A80" s="5" t="s">
        <v>39</v>
      </c>
      <c r="B80" s="5" t="s">
        <v>38</v>
      </c>
      <c r="C80" s="5" t="s">
        <v>21</v>
      </c>
      <c r="D80" s="5" t="s">
        <v>22</v>
      </c>
      <c r="E80" s="5" t="s">
        <v>176</v>
      </c>
      <c r="F80" s="6" t="s">
        <v>41</v>
      </c>
      <c r="G80" s="7"/>
    </row>
    <row r="81" ht="15.75" customHeight="1">
      <c r="A81" s="5" t="s">
        <v>39</v>
      </c>
      <c r="B81" s="5" t="s">
        <v>38</v>
      </c>
      <c r="C81" s="5" t="s">
        <v>47</v>
      </c>
      <c r="D81" s="5" t="s">
        <v>22</v>
      </c>
      <c r="E81" s="5" t="s">
        <v>177</v>
      </c>
      <c r="F81" s="6" t="s">
        <v>41</v>
      </c>
      <c r="G81" s="7"/>
    </row>
    <row r="82" ht="15.75" customHeight="1">
      <c r="A82" s="5" t="s">
        <v>39</v>
      </c>
      <c r="B82" s="5" t="s">
        <v>38</v>
      </c>
      <c r="C82" s="5" t="s">
        <v>49</v>
      </c>
      <c r="D82" s="5" t="s">
        <v>22</v>
      </c>
      <c r="E82" s="5" t="s">
        <v>178</v>
      </c>
      <c r="F82" s="6" t="s">
        <v>56</v>
      </c>
      <c r="G82" s="6" t="s">
        <v>57</v>
      </c>
    </row>
    <row r="83" ht="15.75" customHeight="1">
      <c r="A83" s="5" t="s">
        <v>39</v>
      </c>
      <c r="B83" s="5" t="s">
        <v>38</v>
      </c>
      <c r="C83" s="5" t="s">
        <v>51</v>
      </c>
      <c r="D83" s="5" t="s">
        <v>54</v>
      </c>
      <c r="E83" s="5" t="s">
        <v>179</v>
      </c>
      <c r="F83" s="6" t="s">
        <v>41</v>
      </c>
      <c r="G83" s="7"/>
    </row>
    <row r="84" ht="15.75" customHeight="1">
      <c r="A84" s="5" t="s">
        <v>39</v>
      </c>
      <c r="B84" s="5" t="s">
        <v>38</v>
      </c>
      <c r="C84" s="5" t="s">
        <v>53</v>
      </c>
      <c r="D84" s="5" t="s">
        <v>54</v>
      </c>
      <c r="E84" s="5" t="s">
        <v>180</v>
      </c>
      <c r="F84" s="6" t="s">
        <v>41</v>
      </c>
      <c r="G84" s="7"/>
    </row>
    <row r="85" ht="15.75" customHeight="1">
      <c r="A85" s="5" t="s">
        <v>39</v>
      </c>
      <c r="B85" s="5" t="s">
        <v>38</v>
      </c>
      <c r="C85" s="5" t="s">
        <v>58</v>
      </c>
      <c r="D85" s="5" t="s">
        <v>71</v>
      </c>
      <c r="E85" s="5" t="s">
        <v>181</v>
      </c>
      <c r="F85" s="6" t="s">
        <v>56</v>
      </c>
      <c r="G85" s="6" t="s">
        <v>76</v>
      </c>
    </row>
    <row r="86" ht="15.75" customHeight="1">
      <c r="A86" s="5" t="s">
        <v>39</v>
      </c>
      <c r="B86" s="5" t="s">
        <v>38</v>
      </c>
      <c r="C86" s="5" t="s">
        <v>60</v>
      </c>
      <c r="D86" s="5" t="s">
        <v>71</v>
      </c>
      <c r="E86" s="5" t="s">
        <v>182</v>
      </c>
      <c r="F86" s="6" t="s">
        <v>56</v>
      </c>
      <c r="G86" s="6" t="s">
        <v>76</v>
      </c>
    </row>
    <row r="87" ht="15.75" customHeight="1">
      <c r="A87" s="5" t="s">
        <v>39</v>
      </c>
      <c r="B87" s="5" t="s">
        <v>38</v>
      </c>
      <c r="C87" s="5" t="s">
        <v>62</v>
      </c>
      <c r="D87" s="5" t="s">
        <v>71</v>
      </c>
      <c r="E87" s="5" t="s">
        <v>183</v>
      </c>
      <c r="F87" s="6" t="s">
        <v>56</v>
      </c>
      <c r="G87" s="6" t="s">
        <v>76</v>
      </c>
    </row>
    <row r="88" ht="15.75" customHeight="1">
      <c r="A88" s="5" t="s">
        <v>39</v>
      </c>
      <c r="B88" s="5" t="s">
        <v>38</v>
      </c>
      <c r="C88" s="5" t="s">
        <v>64</v>
      </c>
      <c r="D88" s="5" t="s">
        <v>71</v>
      </c>
      <c r="E88" s="5" t="s">
        <v>184</v>
      </c>
      <c r="F88" s="6" t="s">
        <v>56</v>
      </c>
      <c r="G88" s="6" t="s">
        <v>76</v>
      </c>
    </row>
    <row r="89" ht="15.75" customHeight="1">
      <c r="A89" s="5" t="s">
        <v>39</v>
      </c>
      <c r="B89" s="5" t="s">
        <v>38</v>
      </c>
      <c r="C89" s="5" t="s">
        <v>66</v>
      </c>
      <c r="D89" s="5" t="s">
        <v>71</v>
      </c>
      <c r="E89" s="5" t="s">
        <v>185</v>
      </c>
      <c r="F89" s="6" t="s">
        <v>56</v>
      </c>
      <c r="G89" s="6" t="s">
        <v>76</v>
      </c>
    </row>
    <row r="90" ht="15.75" customHeight="1">
      <c r="A90" s="5" t="s">
        <v>39</v>
      </c>
      <c r="B90" s="5" t="s">
        <v>38</v>
      </c>
      <c r="C90" s="5" t="s">
        <v>68</v>
      </c>
      <c r="D90" s="5" t="s">
        <v>80</v>
      </c>
      <c r="E90" s="5" t="s">
        <v>186</v>
      </c>
      <c r="F90" s="6" t="s">
        <v>56</v>
      </c>
      <c r="G90" s="6" t="s">
        <v>86</v>
      </c>
    </row>
    <row r="91" ht="15.75" customHeight="1">
      <c r="A91" s="5" t="s">
        <v>39</v>
      </c>
      <c r="B91" s="5" t="s">
        <v>38</v>
      </c>
      <c r="C91" s="5" t="s">
        <v>70</v>
      </c>
      <c r="D91" s="5" t="s">
        <v>88</v>
      </c>
      <c r="E91" s="5" t="s">
        <v>187</v>
      </c>
      <c r="F91" s="6" t="s">
        <v>41</v>
      </c>
      <c r="G91" s="7"/>
    </row>
    <row r="92" ht="15.75" customHeight="1">
      <c r="A92" s="5" t="s">
        <v>39</v>
      </c>
      <c r="B92" s="5" t="s">
        <v>38</v>
      </c>
      <c r="C92" s="5" t="s">
        <v>74</v>
      </c>
      <c r="D92" s="5" t="s">
        <v>88</v>
      </c>
      <c r="E92" s="5" t="s">
        <v>188</v>
      </c>
      <c r="F92" s="6" t="s">
        <v>41</v>
      </c>
      <c r="G92" s="7"/>
    </row>
    <row r="93" ht="15.75" customHeight="1">
      <c r="A93" s="5" t="s">
        <v>39</v>
      </c>
      <c r="B93" s="5" t="s">
        <v>38</v>
      </c>
      <c r="C93" s="5" t="s">
        <v>77</v>
      </c>
      <c r="D93" s="5" t="s">
        <v>88</v>
      </c>
      <c r="E93" s="5" t="s">
        <v>189</v>
      </c>
      <c r="F93" s="6" t="s">
        <v>41</v>
      </c>
      <c r="G93" s="7"/>
    </row>
    <row r="94" ht="15.75" customHeight="1">
      <c r="A94" s="5" t="s">
        <v>39</v>
      </c>
      <c r="B94" s="5" t="s">
        <v>38</v>
      </c>
      <c r="C94" s="5" t="s">
        <v>79</v>
      </c>
      <c r="D94" s="5" t="s">
        <v>88</v>
      </c>
      <c r="E94" s="5" t="s">
        <v>190</v>
      </c>
      <c r="F94" s="6" t="s">
        <v>41</v>
      </c>
      <c r="G94" s="7"/>
    </row>
    <row r="95" ht="15.75" customHeight="1">
      <c r="A95" s="5" t="s">
        <v>39</v>
      </c>
      <c r="B95" s="5" t="s">
        <v>38</v>
      </c>
      <c r="C95" s="5" t="s">
        <v>82</v>
      </c>
      <c r="D95" s="5" t="s">
        <v>88</v>
      </c>
      <c r="E95" s="5" t="s">
        <v>191</v>
      </c>
      <c r="F95" s="6" t="s">
        <v>41</v>
      </c>
      <c r="G95" s="7"/>
    </row>
    <row r="96" ht="15.75" customHeight="1">
      <c r="A96" s="5" t="s">
        <v>39</v>
      </c>
      <c r="B96" s="5" t="s">
        <v>38</v>
      </c>
      <c r="C96" s="5" t="s">
        <v>84</v>
      </c>
      <c r="D96" s="5" t="s">
        <v>88</v>
      </c>
      <c r="E96" s="5" t="s">
        <v>192</v>
      </c>
      <c r="F96" s="6" t="s">
        <v>41</v>
      </c>
      <c r="G96" s="7"/>
    </row>
    <row r="97" ht="15.75" customHeight="1">
      <c r="A97" s="5" t="s">
        <v>39</v>
      </c>
      <c r="B97" s="5" t="s">
        <v>38</v>
      </c>
      <c r="C97" s="5" t="s">
        <v>87</v>
      </c>
      <c r="D97" s="5" t="s">
        <v>88</v>
      </c>
      <c r="E97" s="5" t="s">
        <v>193</v>
      </c>
      <c r="F97" s="6" t="s">
        <v>41</v>
      </c>
      <c r="G97" s="7"/>
    </row>
    <row r="98" ht="15.75" customHeight="1">
      <c r="A98" s="5" t="s">
        <v>39</v>
      </c>
      <c r="B98" s="5" t="s">
        <v>38</v>
      </c>
      <c r="C98" s="5" t="s">
        <v>90</v>
      </c>
      <c r="D98" s="5" t="s">
        <v>88</v>
      </c>
      <c r="E98" s="5" t="s">
        <v>194</v>
      </c>
      <c r="F98" s="6" t="s">
        <v>41</v>
      </c>
      <c r="G98" s="7"/>
    </row>
    <row r="99" ht="15.75" customHeight="1">
      <c r="A99" s="5" t="s">
        <v>39</v>
      </c>
      <c r="B99" s="5" t="s">
        <v>38</v>
      </c>
      <c r="C99" s="5" t="s">
        <v>92</v>
      </c>
      <c r="D99" s="5" t="s">
        <v>88</v>
      </c>
      <c r="E99" s="5" t="s">
        <v>195</v>
      </c>
      <c r="F99" s="6" t="s">
        <v>41</v>
      </c>
      <c r="G99" s="7"/>
    </row>
    <row r="100" ht="15.75" customHeight="1">
      <c r="A100" s="5" t="s">
        <v>39</v>
      </c>
      <c r="B100" s="5" t="s">
        <v>38</v>
      </c>
      <c r="C100" s="5" t="s">
        <v>94</v>
      </c>
      <c r="D100" s="5" t="s">
        <v>88</v>
      </c>
      <c r="E100" s="5" t="s">
        <v>196</v>
      </c>
      <c r="F100" s="6" t="s">
        <v>41</v>
      </c>
      <c r="G100" s="7"/>
    </row>
    <row r="101" ht="15.75" customHeight="1">
      <c r="A101" s="5" t="s">
        <v>39</v>
      </c>
      <c r="B101" s="5" t="s">
        <v>38</v>
      </c>
      <c r="C101" s="5" t="s">
        <v>96</v>
      </c>
      <c r="D101" s="5" t="s">
        <v>88</v>
      </c>
      <c r="E101" s="5" t="s">
        <v>197</v>
      </c>
      <c r="F101" s="6" t="s">
        <v>41</v>
      </c>
      <c r="G101" s="7"/>
    </row>
    <row r="102" ht="15.75" customHeight="1">
      <c r="A102" s="5" t="s">
        <v>39</v>
      </c>
      <c r="B102" s="5" t="s">
        <v>38</v>
      </c>
      <c r="C102" s="5" t="s">
        <v>98</v>
      </c>
      <c r="D102" s="5" t="s">
        <v>88</v>
      </c>
      <c r="E102" s="5" t="s">
        <v>198</v>
      </c>
      <c r="F102" s="6" t="s">
        <v>41</v>
      </c>
      <c r="G102" s="7"/>
    </row>
    <row r="103" ht="15.75" customHeight="1">
      <c r="A103" s="5" t="s">
        <v>39</v>
      </c>
      <c r="B103" s="5" t="s">
        <v>38</v>
      </c>
      <c r="C103" s="5" t="s">
        <v>100</v>
      </c>
      <c r="D103" s="5" t="s">
        <v>88</v>
      </c>
      <c r="E103" s="5" t="s">
        <v>199</v>
      </c>
      <c r="F103" s="6" t="s">
        <v>41</v>
      </c>
      <c r="G103" s="7"/>
    </row>
    <row r="104" ht="15.75" customHeight="1">
      <c r="A104" s="5" t="s">
        <v>39</v>
      </c>
      <c r="B104" s="5" t="s">
        <v>38</v>
      </c>
      <c r="C104" s="5" t="s">
        <v>102</v>
      </c>
      <c r="D104" s="5" t="s">
        <v>88</v>
      </c>
      <c r="E104" s="5" t="s">
        <v>200</v>
      </c>
      <c r="F104" s="6" t="s">
        <v>41</v>
      </c>
      <c r="G104" s="7"/>
    </row>
    <row r="105" ht="15.75" customHeight="1">
      <c r="A105" s="5" t="s">
        <v>39</v>
      </c>
      <c r="B105" s="5" t="s">
        <v>38</v>
      </c>
      <c r="C105" s="5" t="s">
        <v>104</v>
      </c>
      <c r="D105" s="5" t="s">
        <v>88</v>
      </c>
      <c r="E105" s="5" t="s">
        <v>201</v>
      </c>
      <c r="F105" s="6" t="s">
        <v>41</v>
      </c>
      <c r="G105" s="7"/>
    </row>
    <row r="106" ht="15.75" customHeight="1">
      <c r="A106" s="5" t="s">
        <v>39</v>
      </c>
      <c r="B106" s="5" t="s">
        <v>38</v>
      </c>
      <c r="C106" s="5" t="s">
        <v>106</v>
      </c>
      <c r="D106" s="5" t="s">
        <v>88</v>
      </c>
      <c r="E106" s="5" t="s">
        <v>202</v>
      </c>
      <c r="F106" s="6" t="s">
        <v>41</v>
      </c>
      <c r="G106" s="7"/>
    </row>
    <row r="107" ht="15.75" customHeight="1">
      <c r="A107" s="5" t="s">
        <v>39</v>
      </c>
      <c r="B107" s="5" t="s">
        <v>38</v>
      </c>
      <c r="C107" s="5" t="s">
        <v>108</v>
      </c>
      <c r="D107" s="5" t="s">
        <v>88</v>
      </c>
      <c r="E107" s="5" t="s">
        <v>203</v>
      </c>
      <c r="F107" s="6" t="s">
        <v>41</v>
      </c>
      <c r="G107" s="7"/>
    </row>
    <row r="108" ht="15.75" customHeight="1">
      <c r="A108" s="5" t="s">
        <v>39</v>
      </c>
      <c r="B108" s="5" t="s">
        <v>38</v>
      </c>
      <c r="C108" s="5" t="s">
        <v>110</v>
      </c>
      <c r="D108" s="5" t="s">
        <v>88</v>
      </c>
      <c r="E108" s="5" t="s">
        <v>204</v>
      </c>
      <c r="F108" s="6" t="s">
        <v>56</v>
      </c>
      <c r="G108" s="6" t="s">
        <v>57</v>
      </c>
    </row>
    <row r="109" ht="15.75" customHeight="1">
      <c r="A109" s="5" t="s">
        <v>44</v>
      </c>
      <c r="B109" s="5" t="s">
        <v>43</v>
      </c>
      <c r="C109" s="5" t="s">
        <v>21</v>
      </c>
      <c r="D109" s="5" t="s">
        <v>205</v>
      </c>
      <c r="E109" s="5" t="s">
        <v>206</v>
      </c>
      <c r="F109" s="6" t="s">
        <v>56</v>
      </c>
      <c r="G109" s="6" t="s">
        <v>57</v>
      </c>
    </row>
    <row r="110" ht="15.75" customHeight="1">
      <c r="A110" s="5" t="s">
        <v>44</v>
      </c>
      <c r="B110" s="5" t="s">
        <v>43</v>
      </c>
      <c r="C110" s="5" t="s">
        <v>47</v>
      </c>
      <c r="D110" s="5" t="s">
        <v>54</v>
      </c>
      <c r="E110" s="5" t="s">
        <v>207</v>
      </c>
      <c r="F110" s="6" t="s">
        <v>41</v>
      </c>
      <c r="G110" s="7"/>
    </row>
    <row r="111" ht="15.75" customHeight="1">
      <c r="A111" s="5" t="s">
        <v>44</v>
      </c>
      <c r="B111" s="5" t="s">
        <v>43</v>
      </c>
      <c r="C111" s="5" t="s">
        <v>49</v>
      </c>
      <c r="D111" s="5" t="s">
        <v>54</v>
      </c>
      <c r="E111" s="5" t="s">
        <v>208</v>
      </c>
      <c r="F111" s="6" t="s">
        <v>41</v>
      </c>
      <c r="G111" s="7"/>
    </row>
    <row r="112" ht="15.75" customHeight="1">
      <c r="A112" s="5" t="s">
        <v>44</v>
      </c>
      <c r="B112" s="5" t="s">
        <v>43</v>
      </c>
      <c r="C112" s="5" t="s">
        <v>51</v>
      </c>
      <c r="D112" s="5" t="s">
        <v>54</v>
      </c>
      <c r="E112" s="5" t="s">
        <v>209</v>
      </c>
      <c r="F112" s="6" t="s">
        <v>41</v>
      </c>
      <c r="G112" s="7"/>
    </row>
    <row r="113" ht="15.75" customHeight="1">
      <c r="A113" s="5" t="s">
        <v>44</v>
      </c>
      <c r="B113" s="5" t="s">
        <v>43</v>
      </c>
      <c r="C113" s="5" t="s">
        <v>53</v>
      </c>
      <c r="D113" s="5" t="s">
        <v>54</v>
      </c>
      <c r="E113" s="5" t="s">
        <v>210</v>
      </c>
      <c r="F113" s="6" t="s">
        <v>41</v>
      </c>
      <c r="G113" s="7"/>
    </row>
    <row r="114" ht="15.75" customHeight="1">
      <c r="A114" s="5" t="s">
        <v>44</v>
      </c>
      <c r="B114" s="5" t="s">
        <v>43</v>
      </c>
      <c r="C114" s="5" t="s">
        <v>58</v>
      </c>
      <c r="D114" s="5" t="s">
        <v>54</v>
      </c>
      <c r="E114" s="5" t="s">
        <v>211</v>
      </c>
      <c r="F114" s="6" t="s">
        <v>41</v>
      </c>
      <c r="G114" s="7"/>
    </row>
    <row r="115" ht="15.75" customHeight="1">
      <c r="A115" s="5" t="s">
        <v>44</v>
      </c>
      <c r="B115" s="5" t="s">
        <v>43</v>
      </c>
      <c r="C115" s="5" t="s">
        <v>60</v>
      </c>
      <c r="D115" s="5" t="s">
        <v>54</v>
      </c>
      <c r="E115" s="5" t="s">
        <v>212</v>
      </c>
      <c r="F115" s="6" t="s">
        <v>41</v>
      </c>
      <c r="G115" s="7"/>
    </row>
    <row r="116" ht="15.75" customHeight="1">
      <c r="A116" s="5" t="s">
        <v>44</v>
      </c>
      <c r="B116" s="5" t="s">
        <v>43</v>
      </c>
      <c r="C116" s="5" t="s">
        <v>62</v>
      </c>
      <c r="D116" s="5" t="s">
        <v>71</v>
      </c>
      <c r="E116" s="5" t="s">
        <v>213</v>
      </c>
      <c r="F116" s="6" t="s">
        <v>41</v>
      </c>
      <c r="G116" s="7"/>
    </row>
    <row r="117" ht="15.75" customHeight="1">
      <c r="A117" s="5" t="s">
        <v>44</v>
      </c>
      <c r="B117" s="5" t="s">
        <v>43</v>
      </c>
      <c r="C117" s="5" t="s">
        <v>64</v>
      </c>
      <c r="D117" s="5" t="s">
        <v>71</v>
      </c>
      <c r="E117" s="5" t="s">
        <v>214</v>
      </c>
      <c r="F117" s="6" t="s">
        <v>56</v>
      </c>
      <c r="G117" s="6" t="s">
        <v>76</v>
      </c>
    </row>
    <row r="118" ht="15.75" customHeight="1">
      <c r="A118" s="5" t="s">
        <v>44</v>
      </c>
      <c r="B118" s="5" t="s">
        <v>43</v>
      </c>
      <c r="C118" s="5" t="s">
        <v>66</v>
      </c>
      <c r="D118" s="5" t="s">
        <v>80</v>
      </c>
      <c r="E118" s="5" t="s">
        <v>215</v>
      </c>
      <c r="F118" s="6" t="s">
        <v>41</v>
      </c>
      <c r="G118" s="7"/>
    </row>
    <row r="119" ht="15.75" customHeight="1">
      <c r="A119" s="5" t="s">
        <v>44</v>
      </c>
      <c r="B119" s="5" t="s">
        <v>43</v>
      </c>
      <c r="C119" s="5" t="s">
        <v>68</v>
      </c>
      <c r="D119" s="5" t="s">
        <v>80</v>
      </c>
      <c r="E119" s="5" t="s">
        <v>216</v>
      </c>
      <c r="F119" s="6" t="s">
        <v>56</v>
      </c>
      <c r="G119" s="6" t="s">
        <v>76</v>
      </c>
    </row>
    <row r="120" ht="15.75" customHeight="1">
      <c r="A120" s="5" t="s">
        <v>44</v>
      </c>
      <c r="B120" s="5" t="s">
        <v>43</v>
      </c>
      <c r="C120" s="5" t="s">
        <v>70</v>
      </c>
      <c r="D120" s="5" t="s">
        <v>80</v>
      </c>
      <c r="E120" s="5" t="s">
        <v>217</v>
      </c>
      <c r="F120" s="6" t="s">
        <v>56</v>
      </c>
      <c r="G120" s="6" t="s">
        <v>86</v>
      </c>
    </row>
    <row r="121" ht="15.75" customHeight="1">
      <c r="A121" s="5" t="s">
        <v>44</v>
      </c>
      <c r="B121" s="5" t="s">
        <v>43</v>
      </c>
      <c r="C121" s="5" t="s">
        <v>74</v>
      </c>
      <c r="D121" s="5" t="s">
        <v>88</v>
      </c>
      <c r="E121" s="5" t="s">
        <v>218</v>
      </c>
      <c r="F121" s="6" t="s">
        <v>41</v>
      </c>
      <c r="G121" s="7"/>
    </row>
    <row r="122" ht="15.75" customHeight="1">
      <c r="A122" s="5" t="s">
        <v>44</v>
      </c>
      <c r="B122" s="5" t="s">
        <v>43</v>
      </c>
      <c r="C122" s="5" t="s">
        <v>77</v>
      </c>
      <c r="D122" s="5" t="s">
        <v>88</v>
      </c>
      <c r="E122" s="5" t="s">
        <v>219</v>
      </c>
      <c r="F122" s="6" t="s">
        <v>41</v>
      </c>
      <c r="G122" s="7"/>
    </row>
    <row r="123" ht="15.75" customHeight="1">
      <c r="A123" s="5" t="s">
        <v>44</v>
      </c>
      <c r="B123" s="5" t="s">
        <v>43</v>
      </c>
      <c r="C123" s="5" t="s">
        <v>79</v>
      </c>
      <c r="D123" s="5" t="s">
        <v>88</v>
      </c>
      <c r="E123" s="5" t="s">
        <v>220</v>
      </c>
      <c r="F123" s="6" t="s">
        <v>41</v>
      </c>
      <c r="G123" s="7"/>
    </row>
    <row r="124" ht="15.75" customHeight="1">
      <c r="A124" s="5" t="s">
        <v>44</v>
      </c>
      <c r="B124" s="5" t="s">
        <v>43</v>
      </c>
      <c r="C124" s="5" t="s">
        <v>82</v>
      </c>
      <c r="D124" s="5" t="s">
        <v>88</v>
      </c>
      <c r="E124" s="5" t="s">
        <v>221</v>
      </c>
      <c r="F124" s="6" t="s">
        <v>41</v>
      </c>
      <c r="G124" s="7"/>
    </row>
    <row r="125" ht="15.75" customHeight="1">
      <c r="A125" s="5" t="s">
        <v>44</v>
      </c>
      <c r="B125" s="5" t="s">
        <v>43</v>
      </c>
      <c r="C125" s="5" t="s">
        <v>84</v>
      </c>
      <c r="D125" s="5" t="s">
        <v>88</v>
      </c>
      <c r="E125" s="5" t="s">
        <v>222</v>
      </c>
      <c r="F125" s="6" t="s">
        <v>41</v>
      </c>
      <c r="G125" s="7"/>
    </row>
    <row r="126" ht="15.75" customHeight="1">
      <c r="A126" s="5" t="s">
        <v>44</v>
      </c>
      <c r="B126" s="5" t="s">
        <v>43</v>
      </c>
      <c r="C126" s="5" t="s">
        <v>87</v>
      </c>
      <c r="D126" s="5" t="s">
        <v>88</v>
      </c>
      <c r="E126" s="5" t="s">
        <v>223</v>
      </c>
      <c r="F126" s="6" t="s">
        <v>41</v>
      </c>
      <c r="G126" s="7"/>
    </row>
    <row r="127" ht="15.75" customHeight="1">
      <c r="A127" s="5" t="s">
        <v>44</v>
      </c>
      <c r="B127" s="5" t="s">
        <v>43</v>
      </c>
      <c r="C127" s="5" t="s">
        <v>90</v>
      </c>
      <c r="D127" s="5" t="s">
        <v>88</v>
      </c>
      <c r="E127" s="5" t="s">
        <v>224</v>
      </c>
      <c r="F127" s="6" t="s">
        <v>41</v>
      </c>
      <c r="G127" s="7"/>
    </row>
    <row r="128" ht="15.75" customHeight="1">
      <c r="A128" s="5" t="s">
        <v>44</v>
      </c>
      <c r="B128" s="5" t="s">
        <v>43</v>
      </c>
      <c r="C128" s="5" t="s">
        <v>92</v>
      </c>
      <c r="D128" s="5" t="s">
        <v>88</v>
      </c>
      <c r="E128" s="5" t="s">
        <v>225</v>
      </c>
      <c r="F128" s="6" t="s">
        <v>41</v>
      </c>
      <c r="G128" s="7"/>
    </row>
    <row r="129" ht="15.75" customHeight="1">
      <c r="A129" s="5" t="s">
        <v>44</v>
      </c>
      <c r="B129" s="5" t="s">
        <v>43</v>
      </c>
      <c r="C129" s="5" t="s">
        <v>94</v>
      </c>
      <c r="D129" s="5" t="s">
        <v>88</v>
      </c>
      <c r="E129" s="5" t="s">
        <v>226</v>
      </c>
      <c r="F129" s="6" t="s">
        <v>41</v>
      </c>
      <c r="G129" s="7"/>
    </row>
    <row r="130" ht="15.75" customHeight="1">
      <c r="A130" s="5" t="s">
        <v>44</v>
      </c>
      <c r="B130" s="5" t="s">
        <v>43</v>
      </c>
      <c r="C130" s="5" t="s">
        <v>96</v>
      </c>
      <c r="D130" s="5" t="s">
        <v>88</v>
      </c>
      <c r="E130" s="5" t="s">
        <v>227</v>
      </c>
      <c r="F130" s="6" t="s">
        <v>41</v>
      </c>
      <c r="G130" s="7"/>
    </row>
    <row r="131" ht="15.75" customHeight="1">
      <c r="A131" s="5" t="s">
        <v>44</v>
      </c>
      <c r="B131" s="5" t="s">
        <v>43</v>
      </c>
      <c r="C131" s="5" t="s">
        <v>98</v>
      </c>
      <c r="D131" s="5" t="s">
        <v>88</v>
      </c>
      <c r="E131" s="5" t="s">
        <v>228</v>
      </c>
      <c r="F131" s="6" t="s">
        <v>56</v>
      </c>
      <c r="G131" s="6" t="s">
        <v>57</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31"/>
  <dataValidations>
    <dataValidation type="list" allowBlank="1" showInputMessage="1" showErrorMessage="1" prompt="Invalid label - Pick CLAIM or BACKGROUND" sqref="F2:F131">
      <formula1>"CLAIM,BACKGROUND"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90.0"/>
    <col customWidth="1" min="4" max="4" width="10.0"/>
    <col customWidth="1" min="5" max="5" width="45.0"/>
    <col customWidth="1" min="6" max="26" width="8.71"/>
  </cols>
  <sheetData>
    <row r="1">
      <c r="A1" s="3" t="s">
        <v>2</v>
      </c>
      <c r="B1" s="3" t="s">
        <v>1</v>
      </c>
      <c r="C1" s="3" t="s">
        <v>10</v>
      </c>
      <c r="D1" s="3" t="s">
        <v>14</v>
      </c>
      <c r="E1" s="3" t="s">
        <v>16</v>
      </c>
    </row>
    <row r="2">
      <c r="A2" s="5" t="s">
        <v>19</v>
      </c>
      <c r="B2" s="5" t="s">
        <v>17</v>
      </c>
      <c r="C2" s="5" t="s">
        <v>25</v>
      </c>
      <c r="D2" s="5">
        <v>43.0</v>
      </c>
      <c r="E2" s="5" t="s">
        <v>28</v>
      </c>
    </row>
    <row r="3">
      <c r="A3" s="5" t="s">
        <v>30</v>
      </c>
      <c r="B3" s="5" t="s">
        <v>32</v>
      </c>
      <c r="C3" s="5" t="s">
        <v>34</v>
      </c>
      <c r="D3" s="5">
        <v>35.0</v>
      </c>
      <c r="E3" s="5" t="s">
        <v>36</v>
      </c>
    </row>
    <row r="4">
      <c r="A4" s="5" t="s">
        <v>38</v>
      </c>
      <c r="B4" s="5" t="s">
        <v>39</v>
      </c>
      <c r="C4" s="5" t="s">
        <v>40</v>
      </c>
      <c r="D4" s="5">
        <v>29.0</v>
      </c>
      <c r="E4" s="5" t="s">
        <v>42</v>
      </c>
    </row>
    <row r="5">
      <c r="A5" s="5" t="s">
        <v>43</v>
      </c>
      <c r="B5" s="5" t="s">
        <v>44</v>
      </c>
      <c r="C5" s="5" t="s">
        <v>45</v>
      </c>
      <c r="D5" s="5">
        <v>23.0</v>
      </c>
      <c r="E5" s="5"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