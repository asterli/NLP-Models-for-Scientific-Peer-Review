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s" sheetId="2" r:id="rId6"/>
    <sheet state="visible" name="Papers" sheetId="3" r:id="rId7"/>
  </sheets>
  <definedNames>
    <definedName hidden="1" localSheetId="1" name="_xlnm._FilterDatabase">Labels!$A$1:$G$129</definedName>
  </definedNames>
  <calcPr/>
</workbook>
</file>

<file path=xl/sharedStrings.xml><?xml version="1.0" encoding="utf-8"?>
<sst xmlns="http://schemas.openxmlformats.org/spreadsheetml/2006/main" count="829" uniqueCount="234">
  <si>
    <t>Claim labeling: Reda</t>
  </si>
  <si>
    <t>What to do</t>
  </si>
  <si>
    <t>1. Read each paper's sentences in order on the Labels tab (they are grouped by paper, in reading order).</t>
  </si>
  <si>
    <t>2. In the yellow 'label' column, pick CLAIM or BACKGROUND from the dropdown. Every sentence needs a label.</t>
  </si>
  <si>
    <t>3. Use 'note' for anything borderline, so we can discuss it. Don't change any other column.</t>
  </si>
  <si>
    <t>4. Label on your own, without comparing with others. Some papers are labeled by two people on purpose.</t>
  </si>
  <si>
    <t>5. Due Sunday (Oct 18). Send the file back as is (don't rename columns or re-sort).</t>
  </si>
  <si>
    <t>Rules (full guide: data/claims/claim_labeling_guide.md in the repo)</t>
  </si>
  <si>
    <t>CLAIM: the paper's own objective, contribution, finding, or conclusion (including implications of its findings).</t>
  </si>
  <si>
    <t>BACKGROUND: everything else, including prior work, motivation, gaps, and the study's own setup.</t>
  </si>
  <si>
    <t>NEW: descriptions of this study's design, setting, recruitment, or sample are BACKGROUND,</t>
  </si>
  <si>
    <t>unless the paper presents them as its contribution (e.g. first test in a particular population).</t>
  </si>
  <si>
    <t>Example (how a filled row looks)</t>
  </si>
  <si>
    <t>text: This secondary analysis of a randomized clinical trial included 2255 homeless adults with mental illnesses.</t>
  </si>
  <si>
    <t>label: BACKGROUND    note: (empty, not borderline)</t>
  </si>
  <si>
    <t>Progress</t>
  </si>
  <si>
    <t>Sentences</t>
  </si>
  <si>
    <t>pmcid</t>
  </si>
  <si>
    <t>paper_id</t>
  </si>
  <si>
    <t>CLAIM</t>
  </si>
  <si>
    <t>title</t>
  </si>
  <si>
    <t>sentences</t>
  </si>
  <si>
    <t>sentence_id</t>
  </si>
  <si>
    <t>link</t>
  </si>
  <si>
    <t>section</t>
  </si>
  <si>
    <t>PMC12279658</t>
  </si>
  <si>
    <t>text</t>
  </si>
  <si>
    <t>label</t>
  </si>
  <si>
    <t>doi:10.1007/s11524-025-00981-0</t>
  </si>
  <si>
    <t>note</t>
  </si>
  <si>
    <t>Pharmacy Homeless Outreach Engagement Non-medical Independent Prescribing Rx (PHOENIx) Community Pharmacy-Based Pilot Randomized Controlled Trial</t>
  </si>
  <si>
    <t>BACKGROUND</t>
  </si>
  <si>
    <t>https://doi.org/10.1007/s11524-025-00981-0</t>
  </si>
  <si>
    <t>PMC8851060</t>
  </si>
  <si>
    <t>doi:10.1017/s2045796022000026</t>
  </si>
  <si>
    <t>s001</t>
  </si>
  <si>
    <t>Housing First for homeless people with severe mental illness: extended 4-year follow-up and analysis of recovery and housing stability from the randomized Un Chez Soi d'Abord trial</t>
  </si>
  <si>
    <t>abstract</t>
  </si>
  <si>
    <t>https://doi.org/10.1017/s2045796022000026</t>
  </si>
  <si>
    <t>Randomized controlled trials (RCTs) aiming to address the multiple health and social challenges of people experiencing homelessness (PEH) are lacking.</t>
  </si>
  <si>
    <t>PMC12719885</t>
  </si>
  <si>
    <t>doi:10.1136/bmjopen-2024-097753</t>
  </si>
  <si>
    <t>Critical time intervention for people leaving prison at risk of homelessness in England and Wales (PHaCT trial): a pilot feasibility randomised controlled trial</t>
  </si>
  <si>
    <t>https://doi.org/10.1136/bmjopen-2024-097753</t>
  </si>
  <si>
    <t>PMC8382791</t>
  </si>
  <si>
    <t>doi:10.1007/s11524-021-00550-1</t>
  </si>
  <si>
    <t>Still blank</t>
  </si>
  <si>
    <t>The Effect of a Housing First Intervention on Acute Health Care Utilization among Homeless Adults with Mental Illness: Long-term Outcomes of the At Home/Chez-Soi Randomized Pragmatic Trial</t>
  </si>
  <si>
    <t>https://doi.org/10.1007/s11524-021-00550-1</t>
  </si>
  <si>
    <t>s002</t>
  </si>
  <si>
    <t>Here we report the findings from a multicenter, open, pilot RCT.</t>
  </si>
  <si>
    <t>announces this paper's findings without specifying them; treated as a current-paper contribution statement.</t>
  </si>
  <si>
    <t>s003</t>
  </si>
  <si>
    <t>The intervention involved independent prescriber pharmacist from the National Health Service working on outreach in partnership with dedicated workers from Homeless Voluntary Charity or Social Enterprises (HVCSEs) (Pharmacist and third sector charity worker integrated Homeless Outreach Engagement Non-medical Independent prescriber Rx’-PHOENIx) in low threshold HVCSE venues or temporary accommodation addressing PEH participants’ health and wider needs through repeated outreach.</t>
  </si>
  <si>
    <t>s004</t>
  </si>
  <si>
    <t>The trial aimed to investigate whether sufficient numbers of participants could be recruited, retained, the intervention delivered as planned, and sufficient data collected to inform a subsequent definitive RCT.</t>
  </si>
  <si>
    <t>s005</t>
  </si>
  <si>
    <t>Clinical outcomes were also collected at follow-up (6 months).</t>
  </si>
  <si>
    <t>s006</t>
  </si>
  <si>
    <t>Participants were recruited from five community pharmacies and nearby venues in urban centers of Glasgow-Scotland and Birmingham-England, then randomized one-to-one into PHOENIx intervention in addition to usual care (UC) or UC only.</t>
  </si>
  <si>
    <t>s007</t>
  </si>
  <si>
    <t>A priori progression criteria were achieved: 55% of those assessed as eligible were recruited; at 6 months, 72% remained in the study, 91% had emergency department and mortality data available, and 72% completed questionnaire booklets.</t>
  </si>
  <si>
    <t>Feasibility findings (recruitment/retention achieved), not merely routine sample description.</t>
  </si>
  <si>
    <t>s008</t>
  </si>
  <si>
    <t>Fifty-three percent of participants received at least 50% of the planned PHOENIx intervention consultations (in-person or phone) at 6 months.</t>
  </si>
  <si>
    <t>Reports achieved intervention delivery, a feasibility outcome.</t>
  </si>
  <si>
    <t>s009</t>
  </si>
  <si>
    <t>Signs of improvement in clinical outcomes in the PHOENIx group included fewer ambulance call-outs, ED visits, and hospitalizations; higher outpatient attendances; and higher scores on self-reported health-related quality of life.</t>
  </si>
  <si>
    <t>s010</t>
  </si>
  <si>
    <t>A definitive RCT is merited.</t>
  </si>
  <si>
    <t>s011</t>
  </si>
  <si>
    <t>introduction</t>
  </si>
  <si>
    <t>Homelessness refers to rooflessness (e.g., street dwelling), houselessness (e.g., living in temporary shelter), living in insecure housing (threatened with or “sofa surfing”), or inadequate housing [1].</t>
  </si>
  <si>
    <t>s012</t>
  </si>
  <si>
    <t>Homelessness including street dwelling has been steadily rising in the UK since 2010 [2, 3] and other high-income countries in the West [4].</t>
  </si>
  <si>
    <t>s013</t>
  </si>
  <si>
    <t>Globally, around 2% of the world’s population (approximately 150 million people) are known to be experiencing homeless [5].</t>
  </si>
  <si>
    <t>s014</t>
  </si>
  <si>
    <t>Poor health status including severe mental health illnesses and substance use disorders is both a cause and consequence of homelessness [6–8].</t>
  </si>
  <si>
    <t>s015</t>
  </si>
  <si>
    <t>Adverse childhood experiences including being in foster care and childhood poverty are correlated with homelessness in later life [8, 9].</t>
  </si>
  <si>
    <t>s016</t>
  </si>
  <si>
    <t>People experiencing homelessness (PEH) face stigma and discrimination in care settings which can lead to exclusion from care.</t>
  </si>
  <si>
    <t>s017</t>
  </si>
  <si>
    <t>Undiagnosed and untreated health problems including drug overdose, heart failure, accidents, and suicides lead to high early mortality [10–14].</t>
  </si>
  <si>
    <t>s018</t>
  </si>
  <si>
    <t>Other key causes including cardiovascular disease, respiratory disease, and cancer are also amenable to prevention [12].</t>
  </si>
  <si>
    <t>s019</t>
  </si>
  <si>
    <t>Lack of tailored support in streets and temporary accommodations can worsen health status and can be re-traumatizing for PEH [10].</t>
  </si>
  <si>
    <t>s020</t>
  </si>
  <si>
    <t>Homelessness, together with substance misuse and criminal justice involvement, constitutes the overlapping core triad of severe and multiple disadvantages, adding adverse synergy to health and social care outcomes [8].</t>
  </si>
  <si>
    <t>s021</t>
  </si>
  <si>
    <t>Integrated care combining health, housing, and social services is key to mitigating the severe disadvantages they face.</t>
  </si>
  <si>
    <t>s022</t>
  </si>
  <si>
    <t>However, PEH find services “fragmented,” not suitable to their needs, and based on appointment systems that they cannot navigate [15].</t>
  </si>
  <si>
    <t>s023</t>
  </si>
  <si>
    <t>Despite the deleterious nature of homelessness, with exception [16, 17] very little in terms of gold standard randomized controlled trials (RCTs) evaluating interventions to improve health and social outcomes for PEH have been undertaken.</t>
  </si>
  <si>
    <t>s024</t>
  </si>
  <si>
    <t>PHOENIx (Pharmacy Homeless Outreach Engagement Non-medical Independent prescribers Rx) intervention involves an outreach partnership between NHS Independent prescribing pharmacist and Homeless Voluntary, Charity, or Social Enterprises (HVCSEs) locating PEH and offering weekly consultations to support the management of health and social issues.</t>
  </si>
  <si>
    <t>s025</t>
  </si>
  <si>
    <t>HVCSE staff often have strong trusting relationships with PEH, providing advocacy, support for applications for settled housing, benefits and advice, and making provision of food and clothing during times of crises.</t>
  </si>
  <si>
    <t>s026</t>
  </si>
  <si>
    <t>However, HVCSE staff operate separately and cannot readily share records with statutory services like healthcare; therefore, opportunities are often missed to capitalize on “windows of opportunity” with PEH.</t>
  </si>
  <si>
    <t>s027</t>
  </si>
  <si>
    <t>Evidence from a recent pilot RCT focused on PEH with history of non-fatal street drug overdose suggests improved outcomes from PHOENIx, recruited and supported in temporary accommodation and the streets, in Glasgow, UK [17].</t>
  </si>
  <si>
    <t>s028</t>
  </si>
  <si>
    <t>An underpinning principle of PHOENIx was that an integrated approach to health, social, and practical care for PEH is important to address wider determinants of health and mitigate PEH barriers for engagement in primary care [18].</t>
  </si>
  <si>
    <t>s029</t>
  </si>
  <si>
    <t>Other principles for PHOENIx include outreach (when services go to PEH rather than wait for PEH to attend services) which is preferable as a means of engaging and providing continuity of care to PEH [18].</t>
  </si>
  <si>
    <t>s030</t>
  </si>
  <si>
    <t>Increasing access to care is important for PEH; lack of access is a contributor to poor health outcomes.</t>
  </si>
  <si>
    <t>s031</t>
  </si>
  <si>
    <t>Community pharmacies are accessible places to engage with PEH due to a pre-existing relationship, often connecting with PEH who are prescribed treatments for their physical and mental health problems.</t>
  </si>
  <si>
    <t>s032</t>
  </si>
  <si>
    <t>Opioid substitution treatment is often dispensed daily by community pharmacies for PEH (most of whom have substance use) [19] and needle exchange services create an opportunity to build a therapeutic milieu.</t>
  </si>
  <si>
    <t>s033</t>
  </si>
  <si>
    <t>Needle exchange service in UK community pharmacies is offered at no cost to intravenous substance users aged ≥ 18.</t>
  </si>
  <si>
    <t>s034</t>
  </si>
  <si>
    <t>Service users can also access information on harm reduction approaches and safe injection practices through pharmacies and obtain referrals to other services as required [20].</t>
  </si>
  <si>
    <t>s035</t>
  </si>
  <si>
    <t>Community pharmacies located in urban centers can be a few steps away from where PEH live and sleep, and can be accessed without the need for an appointment.</t>
  </si>
  <si>
    <t>s036</t>
  </si>
  <si>
    <t>However, currently the interaction between PEH and pharmacy staff is often transactional and wider opportunities to offer holistic interventions are often missed.</t>
  </si>
  <si>
    <t>s037</t>
  </si>
  <si>
    <t>Assertive outreach to assess and comprehensively address multiple complex health and social care needs is under-utilized in mainstream health and care in the UK [21].</t>
  </si>
  <si>
    <t>s038</t>
  </si>
  <si>
    <t>The PHOENIx intervention aims to create a partnership between NHS pharmacists and HVCSE workers to offer a one stop shop for health and social care.</t>
  </si>
  <si>
    <t>Describes the existing intervention's purpose, not this pilot study's research objective.</t>
  </si>
  <si>
    <t>s039</t>
  </si>
  <si>
    <t>Given the lack of previous evidence of the feasibility of recruiting from and delivering PHOENIx in Community Pharmacies; recruiting and delivering PHOENIx to PEH with and without previous substance overdose; and delivering the PHOENIx intervention across the UK outwith Glasgow and Edinburgh, a multicenter pilot study was needed prior to conducting a definitive multicenter RCT.</t>
  </si>
  <si>
    <t>s040</t>
  </si>
  <si>
    <t>The aim of this study was to undertake a pilot multicenter RCT to assess the feasibility of conducting a larger, definitive trial assessing PHOENIx for PEH in a community pharmacy setting.</t>
  </si>
  <si>
    <t>s041</t>
  </si>
  <si>
    <t>In particular, this study aimed to determine the randomization process and recruitment rate measured by the numbers invited to participate, numbers recruited at baseline, retention of those remaining in the trial at 3-month and 6-month follow-up, adherence to the intervention, and the extent of data related to emergency department visits and mortality data collected at 6 months.</t>
  </si>
  <si>
    <t>abstract:objective</t>
  </si>
  <si>
    <t>Housing First (HF), a recovery-oriented approach, was proven effective in stabilising housing situations of homeless individuals with severe mental disorders, yet had limited effectiveness on recovery outcomes on a short-term basis compared to standard treatment.</t>
  </si>
  <si>
    <t>The objective was to assess the effects of the HF model among homeless people with high support needs for mental and physical health services on recovery, housing stability, quality of life, health care use, mental symptoms and addiction issues on 4 years of data from the Un Chez Soi d'Abord trial.</t>
  </si>
  <si>
    <t>abstract:methods</t>
  </si>
  <si>
    <t>A multicentre randomised controlled trial was conducted from August 2011 to April 2018 with intent-to-treat analysis in four French cities: Lille, Marseille, Paris and Toulouse.</t>
  </si>
  <si>
    <t>Participants were homeless or precariously-housed patients with a DSM-IV-TR diagnosis of bipolar disorder or schizophrenia.</t>
  </si>
  <si>
    <t>Two groups were compared: the HF group (n = 353) had immediate access to independent housing and support from the assertive community treatment team; the Treatment-As-Usual (TAU) group (n = 350) had access to existing support and services.</t>
  </si>
  <si>
    <t>Main outcomes were personal recovery (Recovery Assessment Scale (RAS) scale), housing stability, quality of life (S-QoL), global physical and mental status (Medical Outcomes Study 36-item Short Form Health Survey (SF-36)), inpatient days, mental symptoms (Modified Colorado Symptom Index (MCSI)) and addictions (Mini International Neuropsychiatric Interview (MINI) and Alcohol Use Disorders Identification Test (AUDIT)).</t>
  </si>
  <si>
    <t>Mixed models using longitudinal and cluster designs were performed and adjusted to first age on the street, gender and mental disorder diagnosis.</t>
  </si>
  <si>
    <t>Models were tested for time × group and site × time interactions.</t>
  </si>
  <si>
    <t>abstract:results</t>
  </si>
  <si>
    <t>The 703 participants [123 (18%) female] had a mean age of 39 years (95% CI 38.0–39.5 years).</t>
  </si>
  <si>
    <t>Routine sample demographics, even though in Results; rule C.</t>
  </si>
  <si>
    <t>Both groups improved RAS index from baseline to 48 months, with no statistically significant changes found between the HF and TAU groups over time.</t>
  </si>
  <si>
    <t>HF patients exhibited better autonomy (adjusted β = 2.6, 95% CI 1.2–4.1) and sentimental life (2.3, 95% CI 0.5–4.1), higher housing stability (28.6, 95% CI 25.1–32.1), lower inpatient days (−3.14, 95% CI −5.2 to −1.1) and improved SF-36 mental composite score (−0.8, 95% CI −1.6 to −0.1) over the 4-year follow-up.</t>
  </si>
  <si>
    <t>HF participants experienced higher alcohol consumption between baseline and 48 months.</t>
  </si>
  <si>
    <t>No significant differences were observed for self-reported mental symptoms or substance dependence.</t>
  </si>
  <si>
    <t>abstract:conclusions</t>
  </si>
  <si>
    <t>Data at 4 years were consistent with 2-year follow-up data: similar improvement in personal recovery outcomes but higher housing stability, autonomy and lower use of hospital services in the HF group compared to the TAU group, with the exception of an ongoing alcohol issue.</t>
  </si>
  <si>
    <t>These sustained benefits support HF as a valuable intervention for the homeless patients with severe mental illness.</t>
  </si>
  <si>
    <t>Homelessness is associated with a wide range of social and health problems and brings especially high costs to society: the vast majority of homeless people are unemployed, have very low incomes (Fischer et al., 2008; Roy et al., 2014), and have a high level of psychiatric hospital use, including numerous contacts with justice and criminal services (Hirschtritt and Binder, 2017).</t>
  </si>
  <si>
    <t>The current care of these homeless patients has been based, at best and after years of support, on providing accommodations subject to the initiation of treatment and psychiatric follow-up, also known as the Treatment First model.</t>
  </si>
  <si>
    <t>In 2008, a literature review (Kyle and Dunn, 2007) suggested that when housing eligibility is not dependent on the patient's treatment compliance, this may ultimately encourage people to engage freely in comprehensive medical and social care.</t>
  </si>
  <si>
    <t>Thereafter, a growing number of studies confirmed the effectiveness of this approach, known as the Housing First (HF) programme, for treating homeless people with mental health problems.</t>
  </si>
  <si>
    <t>The HF model was developed in the USA to address homelessness among people with mental health issues and concurrent substance abuse (Tsemberis and Eisenberg, 2000; Tsemberis et al., 2004).</t>
  </si>
  <si>
    <t>The originality of this approach is that it reverses the traditional Treatment First model; HF entails: (a) prioritising permanent housing for homeless people with mental disorders, even if they use and abuse alcohol or substances; and (b) delivering recovery-oriented services promoting consumer choice via a support team (Tsemberis et al., 2004).</t>
  </si>
  <si>
    <t>The HF intervention leads to a wide range of intangible benefits after 1–2 years, namely, a majority of HF users remain in the same dwelling, re-establish family ties, and exhibit a decreased use of hospital services (Stefancic and Tsemberis, 2007; Stergiopoulos et al., 2015; Aubry et al., 2016; Baxter et al., 2019; Tinland et al., 2020).</t>
  </si>
  <si>
    <t>However, the role of the HF model for people who use alcohol and substances is still unclear (Kertesz et al., 2009; Tsai et al., 2010; Padgett et al., 2011; Kirst et al., 2015; Cherner et al., 2017), and there remains a lack of consensus about its benefits over a longer period of time in terms of recovery.</t>
  </si>
  <si>
    <t>Recovery is commonly recognised as a multidimensional concept (Zimmerman et al., 2006; Cuijpers, 2020; Fava and Guidi, 2020).</t>
  </si>
  <si>
    <t>Going beyond the one-dimensional concept of recovery in its clinical aspect, in which intervention effectiveness is mostly defined by reductions in symptom severity with secondary measures, including hospitalisation outcomes and medication use (Turton et al., 2010), a broader definition of recovery encompasses a focus on well-being, which is more in line with patients' perspectives on recovery.</t>
  </si>
  <si>
    <t>Mental health literature emphasises that recovery processes involve continuous cross-dimensional interactions between clinical recovery, personal recovery (i.e. taking control of one's life through individual responsibility, autonomy, empowerment, overcoming stigma and having supportive relationships), functional recovery (i.e. meaningful participation in society) or social recovery (i.e. restoring one's sense of purpose and meaning).</t>
  </si>
  <si>
    <t>There is evidence indicating that the conceptual distinction between clinical recovery and other dimensions is predominant (Bellack, 2005; Jose et al., 2015; Soundy et al., 2015; van Weeghel et al., 2019).</t>
  </si>
  <si>
    <t>We hypothesised that this intervention, with greater community-based support (teams and housing), may promote both clinical recovery and recovery in a broader sense, which we define as the recovery process, but which includes all the concepts described above (Davidson et al., 2007; Stotland et al., 2008; Noiseux et al., 2010; Weijers et al., 2021).</t>
  </si>
  <si>
    <t>hypothesis/prediction without a sufficiently explicit current-paper objective; rule E.</t>
  </si>
  <si>
    <t>A French randomised controlled trial, Un Chez Soi d'Abord, sought to evaluate the HF programme's effectiveness compared to the Treatment-As-Usual (TAU) approach over 2 years.</t>
  </si>
  <si>
    <t>Describes the preceding two-year trial, not this four-year analysis.</t>
  </si>
  <si>
    <t>The French HF programme is similar to those conducted in the USA or Canada, although the target population has a high level of need that is defined, among other conditions, by the presence of severe mental illness.</t>
  </si>
  <si>
    <t>The multidisciplinary support teams therefore followed an assertive community treatment (ACT) model that offers more intense support than case management (Lehman et al., 1999; Vanderlip et al., 2014).</t>
  </si>
  <si>
    <t>At the 2-year follow-up, no differences were found between the two approaches in terms of personal recovery, as evaluated using the Recovery Assessment Scale (RAS) (Girard et al., 2017), whereas the clinical results were encouraging and similar to the North American outcomes, with a significant decline in symptoms and hospital length of stay (Stergiopoulos et al., 2015; Tinland et al., 2020).</t>
  </si>
  <si>
    <t>Prior two-year results cited as background for current four-year study.</t>
  </si>
  <si>
    <t>Following these primary findings, the HF model was included in French planning law at the end of 2017, and the French government has made substantial investments to implement HF throughout the country.</t>
  </si>
  <si>
    <t>Such a programmatic public strategy requires ongoing evaluation to inform decision-makers whether short-term effects are sustained beyond the 2-year period.</t>
  </si>
  <si>
    <t>This is particularly important, as the Chez Soi d'Abord population is suffering from schizophrenia and bipolar disorder.</t>
  </si>
  <si>
    <t>In such populations, the recovery process takes a long time, usually 2–5 years (Robinson et al., 2004; Haro et al., 2015).</t>
  </si>
  <si>
    <t>It is therefore essential to document the effects of HF, and particularly recovery outcomes, beyond 24 months to provide guidance to stakeholders (both professionals and decision-makers) regarding the improvement of the HF programme.</t>
  </si>
  <si>
    <t>To our knowledge, no randomised controlled studies have yet assessed the effects of HF on recovery outcomes based on 4-year follow-up data in patients with severe mental illness (Van Eck et al., 2018).</t>
  </si>
  <si>
    <t>The current study fills this gap by determining the effects of HF v. TAU on recovery outcomes, clinical and recovery processes, housing stability, hospital service use, quality of life (QoL) and addiction problems based on 4 years of data from the Un Chez Soi d'Abord trial.</t>
  </si>
  <si>
    <t>We posited that while clinical recovery can be achieved quickly in the context of HF programme, other dimensions of recovery deserve to be assessed over longer periods (Aubry et al., 2016; Van Eck et al., 2018).</t>
  </si>
  <si>
    <t>rationale/expectation for longer assessment, not a specific objective or finding; rule E.</t>
  </si>
  <si>
    <t>To determine whether a full-scale randomised control trial (RCT) assessing the efficacy and cost-effectiveness of a housing led Critical Time Intervention (CTI) is feasible and acceptable.</t>
  </si>
  <si>
    <t>Pilot parallel two-arm individual level RCT, including process evaluation and embedded exploratory health economic evaluation.</t>
  </si>
  <si>
    <t>Four prisons for men across England and Wales, UK.</t>
  </si>
  <si>
    <t>Men leaving prison at risk of homelessness and intervention delivery staff.</t>
  </si>
  <si>
    <t>CTI has four components: (1) pre-engagement phase: assessing the needs of the client and implementing a plan pre-discharge; (2) transition to community: forming relationships and goal setting; (3) try out: encouraging problem-solving and managing practical issues and (4) transfer of care: developing long-term goals and transferring responsibilities to community providers.</t>
  </si>
  <si>
    <t>Progression criteria: recruitment, retention, acceptability of the processes (CTI and trial method) and fidelity of intervention delivery.</t>
  </si>
  <si>
    <t>We also assessed the completeness of primary, secondary and exploratory outcome measures and estimated intervention costs.</t>
  </si>
  <si>
    <t>Routine description of measurements and estimation, not a reported result.</t>
  </si>
  <si>
    <t>The recruitment progression criterion was met, with 92% (34/37) of approached individuals consenting to participate (target: 50%).</t>
  </si>
  <si>
    <t>Recruitment is a prespecified feasibility outcome; reports criterion achieved.</t>
  </si>
  <si>
    <t>However, the overall recruitment target of 80 was not achieved, and retention was low, only 18% (6/34) provided follow-up data, well below the 60% threshold.</t>
  </si>
  <si>
    <t>Retention was hindered by systemic challenges, including changes to prison release policies and reduced probation support.</t>
  </si>
  <si>
    <t>While the CTI model was acceptable to staff and service users, the trial design, particularly randomisation, was not.</t>
  </si>
  <si>
    <t>Intervention fidelity met the progression criteria.</t>
  </si>
  <si>
    <t>Baseline data collection for health economics and resource use was feasible, and intervention costs were estimated.</t>
  </si>
  <si>
    <t>This pilot trial identified significant challenges to conducting a full-scale RCT of CTI in this context, particularly around retention, trial acceptability and systemic instability.</t>
  </si>
  <si>
    <t>While CTI remains a promising model, a traditional RCT design may not be viable in this setting without substantial structural and ethical adaptations.</t>
  </si>
  <si>
    <t>For people leaving prison, re-integrating into the community can be a difficult process.</t>
  </si>
  <si>
    <t>The absence of suitable affordable housing and a stable support network, in the context that many may have complex needs linked to substance use and mental ill-health, makes people leaving prison more susceptible to homelessness.[1]</t>
  </si>
  <si>
    <t>The absence of stable accommodation can then have further repercussions.</t>
  </si>
  <si>
    <t>People experiencing homelessness are at a higher risk than the general population of infectious and non-communicable diseases, mental health problems, alcohol and substance use, have higher rates of hospital admissions and report lower levels of well-being and health-related quality of life.[1–4]</t>
  </si>
  <si>
    <t>Health outcomes are substantially worse among people with a history of both imprisonment and homelessness than each in isolation.[5]</t>
  </si>
  <si>
    <t>The detrimental consequences of homelessness following imprisonment can lead to a huge societal burden in terms of healthcare and societal costs.[6]</t>
  </si>
  <si>
    <t>Critical Time Interventions (CTIs) are structured, time-limited case management approaches designed to support individuals during periods of transition, such as release from prison, by enhancing engagement with treatment and community services through problem-solving and continuity of care.[7]</t>
  </si>
  <si>
    <t>Core components include small caseloads, active outreach, personalised case management, psychosocial skill-building and motivational support, delivered through a phased model that tapers in intensity over time.[7 8]</t>
  </si>
  <si>
    <t>A multisite randomised control trial (RCT) in the UK demonstrated that CTI could be feasibly and acceptably implemented in prison settings, showing improved service engagement and providing valuable economic evaluation data.[8]</t>
  </si>
  <si>
    <t>While international evidence suggests CTI may improve housing stability among people experiencing or at risk of homelessness, its impact on health outcomes and quality of life remains limited.[8–12]</t>
  </si>
  <si>
    <t>Gaps remain, particularly the limited UK-based RCTs among prison-leavers facing housing instability, highlighting the need for further research in this area.</t>
  </si>
  <si>
    <t>The overall aim was to conduct a pilot RCT to determine whether a future full-scale RCT assessing effectiveness and cost-effectiveness of a housing-led CTI is warranted.</t>
  </si>
  <si>
    <t>We assessed the effects of the Toronto Site Housing First (HF) intervention on hospitalizations and emergency department (ED) visits among homeless adults with mental illness over 7 years of follow-up.</t>
  </si>
  <si>
    <t>The Toronto Site is part of an unblinded multi-site randomized pragmatic trial of HF for homeless adults with mental illness in Canada, which followed participants up to 7 years.</t>
  </si>
  <si>
    <t>Five hundred seventy-five participants were recruited and classified as having high (HN) or moderate need (MN) for mental health support services.</t>
  </si>
  <si>
    <t>Each group was randomized into intervention (HF) and treatment as usual groups, and 567 (98.6%) consented to link their data to health administrative databases.</t>
  </si>
  <si>
    <t>HF participants received a monthly rent supplement of $600 (Canadian) and assertive community treatment (ACT) support or intensive care management (ICM) support based on need level.</t>
  </si>
  <si>
    <t>Treatment as usual (TAU) participants had access to social, housing, and health services generally available in the community.</t>
  </si>
  <si>
    <t>Outcomes included all-cause and mental health-specific hospitalization, number of days in hospital, and ED visit.</t>
  </si>
  <si>
    <t>We used GEE models to estimate ratio of rate ratios (RRR).</t>
  </si>
  <si>
    <t>The results showed HF with ACT had no significant effect on hospitalization rates among HN participants, but reduced the number of days in hospital (RRR = 0.32, 95% CI 0.16-0.63) and number of ED visits (RRR = 0.57, 95% CI 0.34-0.95).</t>
  </si>
  <si>
    <t>HF with ICM resulted in an increase in the number of hospitalizations (RRR = 1.69, 95% CI 1.09-2.60) and ED visit rates (RRR = 1.42, 95% CI 1.01-2.01) but had no effect in days in hospital for MN participants.</t>
  </si>
  <si>
    <t>Addressing the health needs of this population and reducing acute care utilization remain system priorities.</t>
  </si>
  <si>
    <t>interpreted as implication of current findings; wording is broad and could be general motivation.</t>
  </si>
  <si>
    <t>People experiencing homelessness are affected by chronic and acute medical conditions [1–8], neurocognitive impairment, and substance use disorders at higher rates than the general population [1, 9–11].</t>
  </si>
  <si>
    <t>The unstable living conditions associated with homelessness not only increase heath need complexity but in addition interfere with accessing primary health care and effective disease management.</t>
  </si>
  <si>
    <t>It is therefore not surprising that, individuals experiencing homelessness are higher users of emergency departments (ED) [12] and are more frequently admitted to hospital compared to the general population [2, 12–14].</t>
  </si>
  <si>
    <t>The provision of stable housing with supportive services has been identified as a promising intervention to decrease ED visits and hospital admissions for this population [15].</t>
  </si>
  <si>
    <t>However, controlled studies of housing interventions have shown mixed effects on health care utilization [16–19].</t>
  </si>
  <si>
    <t>These studies have generally used self-reported data on health care use, analyzed only a few specific health care services, or have had a relatively short period of follow-up.</t>
  </si>
  <si>
    <t>These limitations have resulted in uncertainty regarding the long-term impacts of supportive housing programs on health care utilization.</t>
  </si>
  <si>
    <t>The purpose of this analysis of the Toronto Site At Home/Chez-Soi randomized pragmatic study is to investigate the effects of a Housing First (HF) intervention, including immediate access to housing and mental health support services, on several acute health care utilization outcomes, including all-cause hospitalization, mental health-related hospitalizations, and ED visits, among adults experiencing homelessness and mental illness over a 7-year follow-up period.</t>
  </si>
  <si>
    <t>This analysis leverages comprehensive provincial administrative databases and the longest HF trial to date to ascertain the health utilization outcomes of study participants over an extended follow-up period in a large urban setting with universal health insurance.</t>
  </si>
  <si>
    <t>frames longest follow-up/comprehensive data as contribution beyond the prior-work limitations.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</si>
</sst>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0.0"/>
      <color theme="1"/>
      <name val="Arial"/>
    </font>
    <font>
      <sz val="10.0"/>
      <color theme="1"/>
      <name val="Arial"/>
    </font>
  </fonts>
  <fills count="4">
    <fill>
      <patternFill patternType="none"/>
    </fill>
    <fill>
      <patternFill patternType="lightGray"/>
    </fill>
    <fill>
      <patternFill patternType="solid">
        <fgColor rgb="FFD9D9D9"/>
        <bgColor rgb="FFD9D9D9"/>
      </patternFill>
    </fill>
    <fill>
      <patternFill patternType="solid">
        <fgColor rgb="FFFFFF99"/>
        <bgColor rgb="FFFFFF99"/>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shrinkToFit="0" vertical="top" wrapText="1"/>
    </xf>
    <xf borderId="1" fillId="3" fontId="2"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0.0"/>
    <col customWidth="1" min="2" max="2" width="12.0"/>
    <col customWidth="1" min="3" max="26" width="8.71"/>
  </cols>
  <sheetData>
    <row r="1">
      <c r="A1" s="1" t="s">
        <v>0</v>
      </c>
    </row>
    <row r="2">
      <c r="A2" s="2"/>
    </row>
    <row r="3">
      <c r="A3" s="1" t="s">
        <v>1</v>
      </c>
    </row>
    <row r="4">
      <c r="A4" s="2" t="s">
        <v>2</v>
      </c>
    </row>
    <row r="5">
      <c r="A5" s="2" t="s">
        <v>3</v>
      </c>
    </row>
    <row r="6">
      <c r="A6" s="2" t="s">
        <v>4</v>
      </c>
    </row>
    <row r="7">
      <c r="A7" s="2" t="s">
        <v>5</v>
      </c>
    </row>
    <row r="8">
      <c r="A8" s="3" t="s">
        <v>6</v>
      </c>
    </row>
    <row r="9">
      <c r="A9" s="2"/>
    </row>
    <row r="10">
      <c r="A10" s="1" t="s">
        <v>7</v>
      </c>
    </row>
    <row r="11">
      <c r="A11" s="2" t="s">
        <v>8</v>
      </c>
    </row>
    <row r="12">
      <c r="A12" s="2" t="s">
        <v>9</v>
      </c>
    </row>
    <row r="13">
      <c r="A13" s="2" t="s">
        <v>10</v>
      </c>
    </row>
    <row r="14">
      <c r="A14" s="2" t="s">
        <v>11</v>
      </c>
    </row>
    <row r="15">
      <c r="A15" s="2"/>
    </row>
    <row r="16">
      <c r="A16" s="1" t="s">
        <v>12</v>
      </c>
    </row>
    <row r="17">
      <c r="A17" s="2" t="s">
        <v>13</v>
      </c>
    </row>
    <row r="18">
      <c r="A18" s="2" t="s">
        <v>14</v>
      </c>
    </row>
    <row r="19">
      <c r="A19" s="2"/>
    </row>
    <row r="20">
      <c r="A20" s="1" t="s">
        <v>15</v>
      </c>
    </row>
    <row r="21" ht="15.75" customHeight="1">
      <c r="A21" s="2" t="s">
        <v>16</v>
      </c>
      <c r="B21" s="2">
        <f>ROWS(Labels!F2:F129)</f>
        <v>128</v>
      </c>
    </row>
    <row r="22" ht="15.75" customHeight="1">
      <c r="A22" s="2" t="s">
        <v>19</v>
      </c>
      <c r="B22" s="2">
        <f>COUNTIF(Labels!F2:F129,"CLAIM")</f>
        <v>32</v>
      </c>
    </row>
    <row r="23" ht="15.75" customHeight="1">
      <c r="A23" s="2" t="s">
        <v>31</v>
      </c>
      <c r="B23" s="2">
        <f>COUNTIF(Labels!F2:F129,"BACKGROUND")</f>
        <v>96</v>
      </c>
    </row>
    <row r="24" ht="15.75" customHeight="1">
      <c r="A24" s="2" t="s">
        <v>46</v>
      </c>
      <c r="B24" s="2">
        <f>COUNTBLANK(Labels!F2:F129)</f>
        <v>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13.0"/>
    <col customWidth="1" min="3" max="3" width="11.0"/>
    <col customWidth="1" min="4" max="4" width="20.0"/>
    <col customWidth="1" min="5" max="5" width="90.0"/>
    <col customWidth="1" min="6" max="6" width="14.0"/>
    <col customWidth="1" min="7" max="7" width="40.0"/>
    <col customWidth="1" min="8" max="26" width="8.71"/>
  </cols>
  <sheetData>
    <row r="1">
      <c r="A1" s="4" t="s">
        <v>18</v>
      </c>
      <c r="B1" s="4" t="s">
        <v>17</v>
      </c>
      <c r="C1" s="4" t="s">
        <v>22</v>
      </c>
      <c r="D1" s="4" t="s">
        <v>24</v>
      </c>
      <c r="E1" s="4" t="s">
        <v>26</v>
      </c>
      <c r="F1" s="4" t="s">
        <v>27</v>
      </c>
      <c r="G1" s="4" t="s">
        <v>29</v>
      </c>
    </row>
    <row r="2">
      <c r="A2" s="5" t="s">
        <v>28</v>
      </c>
      <c r="B2" s="5" t="s">
        <v>25</v>
      </c>
      <c r="C2" s="5" t="s">
        <v>35</v>
      </c>
      <c r="D2" s="5" t="s">
        <v>37</v>
      </c>
      <c r="E2" s="5" t="s">
        <v>39</v>
      </c>
      <c r="F2" s="6" t="s">
        <v>31</v>
      </c>
      <c r="G2" s="6"/>
    </row>
    <row r="3">
      <c r="A3" s="5" t="s">
        <v>28</v>
      </c>
      <c r="B3" s="5" t="s">
        <v>25</v>
      </c>
      <c r="C3" s="5" t="s">
        <v>49</v>
      </c>
      <c r="D3" s="5" t="s">
        <v>37</v>
      </c>
      <c r="E3" s="5" t="s">
        <v>50</v>
      </c>
      <c r="F3" s="6" t="s">
        <v>19</v>
      </c>
      <c r="G3" s="6" t="s">
        <v>51</v>
      </c>
    </row>
    <row r="4">
      <c r="A4" s="5" t="s">
        <v>28</v>
      </c>
      <c r="B4" s="5" t="s">
        <v>25</v>
      </c>
      <c r="C4" s="5" t="s">
        <v>52</v>
      </c>
      <c r="D4" s="5" t="s">
        <v>37</v>
      </c>
      <c r="E4" s="5" t="s">
        <v>53</v>
      </c>
      <c r="F4" s="6" t="s">
        <v>31</v>
      </c>
      <c r="G4" s="6"/>
    </row>
    <row r="5">
      <c r="A5" s="5" t="s">
        <v>28</v>
      </c>
      <c r="B5" s="5" t="s">
        <v>25</v>
      </c>
      <c r="C5" s="5" t="s">
        <v>54</v>
      </c>
      <c r="D5" s="5" t="s">
        <v>37</v>
      </c>
      <c r="E5" s="5" t="s">
        <v>55</v>
      </c>
      <c r="F5" s="6" t="s">
        <v>19</v>
      </c>
      <c r="G5" s="6"/>
    </row>
    <row r="6">
      <c r="A6" s="5" t="s">
        <v>28</v>
      </c>
      <c r="B6" s="5" t="s">
        <v>25</v>
      </c>
      <c r="C6" s="5" t="s">
        <v>56</v>
      </c>
      <c r="D6" s="5" t="s">
        <v>37</v>
      </c>
      <c r="E6" s="5" t="s">
        <v>57</v>
      </c>
      <c r="F6" s="6" t="s">
        <v>31</v>
      </c>
      <c r="G6" s="6"/>
    </row>
    <row r="7">
      <c r="A7" s="5" t="s">
        <v>28</v>
      </c>
      <c r="B7" s="5" t="s">
        <v>25</v>
      </c>
      <c r="C7" s="5" t="s">
        <v>58</v>
      </c>
      <c r="D7" s="5" t="s">
        <v>37</v>
      </c>
      <c r="E7" s="5" t="s">
        <v>59</v>
      </c>
      <c r="F7" s="6" t="s">
        <v>31</v>
      </c>
      <c r="G7" s="6"/>
    </row>
    <row r="8">
      <c r="A8" s="5" t="s">
        <v>28</v>
      </c>
      <c r="B8" s="5" t="s">
        <v>25</v>
      </c>
      <c r="C8" s="5" t="s">
        <v>60</v>
      </c>
      <c r="D8" s="5" t="s">
        <v>37</v>
      </c>
      <c r="E8" s="5" t="s">
        <v>61</v>
      </c>
      <c r="F8" s="6" t="s">
        <v>19</v>
      </c>
      <c r="G8" s="6" t="s">
        <v>62</v>
      </c>
    </row>
    <row r="9">
      <c r="A9" s="5" t="s">
        <v>28</v>
      </c>
      <c r="B9" s="5" t="s">
        <v>25</v>
      </c>
      <c r="C9" s="5" t="s">
        <v>63</v>
      </c>
      <c r="D9" s="5" t="s">
        <v>37</v>
      </c>
      <c r="E9" s="5" t="s">
        <v>64</v>
      </c>
      <c r="F9" s="6" t="s">
        <v>19</v>
      </c>
      <c r="G9" s="6" t="s">
        <v>65</v>
      </c>
    </row>
    <row r="10">
      <c r="A10" s="5" t="s">
        <v>28</v>
      </c>
      <c r="B10" s="5" t="s">
        <v>25</v>
      </c>
      <c r="C10" s="5" t="s">
        <v>66</v>
      </c>
      <c r="D10" s="5" t="s">
        <v>37</v>
      </c>
      <c r="E10" s="5" t="s">
        <v>67</v>
      </c>
      <c r="F10" s="6" t="s">
        <v>19</v>
      </c>
      <c r="G10" s="6"/>
    </row>
    <row r="11">
      <c r="A11" s="5" t="s">
        <v>28</v>
      </c>
      <c r="B11" s="5" t="s">
        <v>25</v>
      </c>
      <c r="C11" s="5" t="s">
        <v>68</v>
      </c>
      <c r="D11" s="5" t="s">
        <v>37</v>
      </c>
      <c r="E11" s="5" t="s">
        <v>69</v>
      </c>
      <c r="F11" s="6" t="s">
        <v>19</v>
      </c>
      <c r="G11" s="6"/>
    </row>
    <row r="12">
      <c r="A12" s="5" t="s">
        <v>28</v>
      </c>
      <c r="B12" s="5" t="s">
        <v>25</v>
      </c>
      <c r="C12" s="5" t="s">
        <v>70</v>
      </c>
      <c r="D12" s="5" t="s">
        <v>71</v>
      </c>
      <c r="E12" s="5" t="s">
        <v>72</v>
      </c>
      <c r="F12" s="6" t="s">
        <v>31</v>
      </c>
      <c r="G12" s="6"/>
    </row>
    <row r="13">
      <c r="A13" s="5" t="s">
        <v>28</v>
      </c>
      <c r="B13" s="5" t="s">
        <v>25</v>
      </c>
      <c r="C13" s="5" t="s">
        <v>73</v>
      </c>
      <c r="D13" s="5" t="s">
        <v>71</v>
      </c>
      <c r="E13" s="5" t="s">
        <v>74</v>
      </c>
      <c r="F13" s="6" t="s">
        <v>31</v>
      </c>
      <c r="G13" s="6"/>
    </row>
    <row r="14">
      <c r="A14" s="5" t="s">
        <v>28</v>
      </c>
      <c r="B14" s="5" t="s">
        <v>25</v>
      </c>
      <c r="C14" s="5" t="s">
        <v>75</v>
      </c>
      <c r="D14" s="5" t="s">
        <v>71</v>
      </c>
      <c r="E14" s="5" t="s">
        <v>76</v>
      </c>
      <c r="F14" s="6" t="s">
        <v>31</v>
      </c>
      <c r="G14" s="6"/>
    </row>
    <row r="15">
      <c r="A15" s="5" t="s">
        <v>28</v>
      </c>
      <c r="B15" s="5" t="s">
        <v>25</v>
      </c>
      <c r="C15" s="5" t="s">
        <v>77</v>
      </c>
      <c r="D15" s="5" t="s">
        <v>71</v>
      </c>
      <c r="E15" s="5" t="s">
        <v>78</v>
      </c>
      <c r="F15" s="6" t="s">
        <v>31</v>
      </c>
      <c r="G15" s="6"/>
    </row>
    <row r="16">
      <c r="A16" s="5" t="s">
        <v>28</v>
      </c>
      <c r="B16" s="5" t="s">
        <v>25</v>
      </c>
      <c r="C16" s="5" t="s">
        <v>79</v>
      </c>
      <c r="D16" s="5" t="s">
        <v>71</v>
      </c>
      <c r="E16" s="5" t="s">
        <v>80</v>
      </c>
      <c r="F16" s="6" t="s">
        <v>31</v>
      </c>
      <c r="G16" s="6"/>
    </row>
    <row r="17">
      <c r="A17" s="5" t="s">
        <v>28</v>
      </c>
      <c r="B17" s="5" t="s">
        <v>25</v>
      </c>
      <c r="C17" s="5" t="s">
        <v>81</v>
      </c>
      <c r="D17" s="5" t="s">
        <v>71</v>
      </c>
      <c r="E17" s="5" t="s">
        <v>82</v>
      </c>
      <c r="F17" s="6" t="s">
        <v>31</v>
      </c>
      <c r="G17" s="6"/>
    </row>
    <row r="18">
      <c r="A18" s="5" t="s">
        <v>28</v>
      </c>
      <c r="B18" s="5" t="s">
        <v>25</v>
      </c>
      <c r="C18" s="5" t="s">
        <v>83</v>
      </c>
      <c r="D18" s="5" t="s">
        <v>71</v>
      </c>
      <c r="E18" s="5" t="s">
        <v>84</v>
      </c>
      <c r="F18" s="6" t="s">
        <v>31</v>
      </c>
      <c r="G18" s="6"/>
    </row>
    <row r="19">
      <c r="A19" s="5" t="s">
        <v>28</v>
      </c>
      <c r="B19" s="5" t="s">
        <v>25</v>
      </c>
      <c r="C19" s="5" t="s">
        <v>85</v>
      </c>
      <c r="D19" s="5" t="s">
        <v>71</v>
      </c>
      <c r="E19" s="5" t="s">
        <v>86</v>
      </c>
      <c r="F19" s="6" t="s">
        <v>31</v>
      </c>
      <c r="G19" s="6"/>
    </row>
    <row r="20">
      <c r="A20" s="5" t="s">
        <v>28</v>
      </c>
      <c r="B20" s="5" t="s">
        <v>25</v>
      </c>
      <c r="C20" s="5" t="s">
        <v>87</v>
      </c>
      <c r="D20" s="5" t="s">
        <v>71</v>
      </c>
      <c r="E20" s="5" t="s">
        <v>88</v>
      </c>
      <c r="F20" s="6" t="s">
        <v>31</v>
      </c>
      <c r="G20" s="6"/>
    </row>
    <row r="21" ht="15.75" customHeight="1">
      <c r="A21" s="5" t="s">
        <v>28</v>
      </c>
      <c r="B21" s="5" t="s">
        <v>25</v>
      </c>
      <c r="C21" s="5" t="s">
        <v>89</v>
      </c>
      <c r="D21" s="5" t="s">
        <v>71</v>
      </c>
      <c r="E21" s="5" t="s">
        <v>90</v>
      </c>
      <c r="F21" s="6" t="s">
        <v>31</v>
      </c>
      <c r="G21" s="6"/>
    </row>
    <row r="22" ht="15.75" customHeight="1">
      <c r="A22" s="5" t="s">
        <v>28</v>
      </c>
      <c r="B22" s="5" t="s">
        <v>25</v>
      </c>
      <c r="C22" s="5" t="s">
        <v>91</v>
      </c>
      <c r="D22" s="5" t="s">
        <v>71</v>
      </c>
      <c r="E22" s="5" t="s">
        <v>92</v>
      </c>
      <c r="F22" s="6" t="s">
        <v>31</v>
      </c>
      <c r="G22" s="6"/>
    </row>
    <row r="23" ht="15.75" customHeight="1">
      <c r="A23" s="5" t="s">
        <v>28</v>
      </c>
      <c r="B23" s="5" t="s">
        <v>25</v>
      </c>
      <c r="C23" s="5" t="s">
        <v>93</v>
      </c>
      <c r="D23" s="5" t="s">
        <v>71</v>
      </c>
      <c r="E23" s="5" t="s">
        <v>94</v>
      </c>
      <c r="F23" s="6" t="s">
        <v>31</v>
      </c>
      <c r="G23" s="6"/>
    </row>
    <row r="24" ht="15.75" customHeight="1">
      <c r="A24" s="5" t="s">
        <v>28</v>
      </c>
      <c r="B24" s="5" t="s">
        <v>25</v>
      </c>
      <c r="C24" s="5" t="s">
        <v>95</v>
      </c>
      <c r="D24" s="5" t="s">
        <v>71</v>
      </c>
      <c r="E24" s="5" t="s">
        <v>96</v>
      </c>
      <c r="F24" s="6" t="s">
        <v>31</v>
      </c>
      <c r="G24" s="6"/>
    </row>
    <row r="25" ht="15.75" customHeight="1">
      <c r="A25" s="5" t="s">
        <v>28</v>
      </c>
      <c r="B25" s="5" t="s">
        <v>25</v>
      </c>
      <c r="C25" s="5" t="s">
        <v>97</v>
      </c>
      <c r="D25" s="5" t="s">
        <v>71</v>
      </c>
      <c r="E25" s="5" t="s">
        <v>98</v>
      </c>
      <c r="F25" s="6" t="s">
        <v>31</v>
      </c>
      <c r="G25" s="6"/>
    </row>
    <row r="26" ht="15.75" customHeight="1">
      <c r="A26" s="5" t="s">
        <v>28</v>
      </c>
      <c r="B26" s="5" t="s">
        <v>25</v>
      </c>
      <c r="C26" s="5" t="s">
        <v>99</v>
      </c>
      <c r="D26" s="5" t="s">
        <v>71</v>
      </c>
      <c r="E26" s="5" t="s">
        <v>100</v>
      </c>
      <c r="F26" s="6" t="s">
        <v>31</v>
      </c>
      <c r="G26" s="6"/>
    </row>
    <row r="27" ht="15.75" customHeight="1">
      <c r="A27" s="5" t="s">
        <v>28</v>
      </c>
      <c r="B27" s="5" t="s">
        <v>25</v>
      </c>
      <c r="C27" s="5" t="s">
        <v>101</v>
      </c>
      <c r="D27" s="5" t="s">
        <v>71</v>
      </c>
      <c r="E27" s="5" t="s">
        <v>102</v>
      </c>
      <c r="F27" s="6" t="s">
        <v>31</v>
      </c>
      <c r="G27" s="6"/>
    </row>
    <row r="28" ht="15.75" customHeight="1">
      <c r="A28" s="5" t="s">
        <v>28</v>
      </c>
      <c r="B28" s="5" t="s">
        <v>25</v>
      </c>
      <c r="C28" s="5" t="s">
        <v>103</v>
      </c>
      <c r="D28" s="5" t="s">
        <v>71</v>
      </c>
      <c r="E28" s="5" t="s">
        <v>104</v>
      </c>
      <c r="F28" s="6" t="s">
        <v>31</v>
      </c>
      <c r="G28" s="6"/>
    </row>
    <row r="29" ht="15.75" customHeight="1">
      <c r="A29" s="5" t="s">
        <v>28</v>
      </c>
      <c r="B29" s="5" t="s">
        <v>25</v>
      </c>
      <c r="C29" s="5" t="s">
        <v>105</v>
      </c>
      <c r="D29" s="5" t="s">
        <v>71</v>
      </c>
      <c r="E29" s="5" t="s">
        <v>106</v>
      </c>
      <c r="F29" s="6" t="s">
        <v>31</v>
      </c>
      <c r="G29" s="6"/>
    </row>
    <row r="30" ht="15.75" customHeight="1">
      <c r="A30" s="5" t="s">
        <v>28</v>
      </c>
      <c r="B30" s="5" t="s">
        <v>25</v>
      </c>
      <c r="C30" s="5" t="s">
        <v>107</v>
      </c>
      <c r="D30" s="5" t="s">
        <v>71</v>
      </c>
      <c r="E30" s="5" t="s">
        <v>108</v>
      </c>
      <c r="F30" s="6" t="s">
        <v>31</v>
      </c>
      <c r="G30" s="6"/>
    </row>
    <row r="31" ht="15.75" customHeight="1">
      <c r="A31" s="5" t="s">
        <v>28</v>
      </c>
      <c r="B31" s="5" t="s">
        <v>25</v>
      </c>
      <c r="C31" s="5" t="s">
        <v>109</v>
      </c>
      <c r="D31" s="5" t="s">
        <v>71</v>
      </c>
      <c r="E31" s="5" t="s">
        <v>110</v>
      </c>
      <c r="F31" s="6" t="s">
        <v>31</v>
      </c>
      <c r="G31" s="6"/>
    </row>
    <row r="32" ht="15.75" customHeight="1">
      <c r="A32" s="5" t="s">
        <v>28</v>
      </c>
      <c r="B32" s="5" t="s">
        <v>25</v>
      </c>
      <c r="C32" s="5" t="s">
        <v>111</v>
      </c>
      <c r="D32" s="5" t="s">
        <v>71</v>
      </c>
      <c r="E32" s="5" t="s">
        <v>112</v>
      </c>
      <c r="F32" s="6" t="s">
        <v>31</v>
      </c>
      <c r="G32" s="6"/>
    </row>
    <row r="33" ht="15.75" customHeight="1">
      <c r="A33" s="5" t="s">
        <v>28</v>
      </c>
      <c r="B33" s="5" t="s">
        <v>25</v>
      </c>
      <c r="C33" s="5" t="s">
        <v>113</v>
      </c>
      <c r="D33" s="5" t="s">
        <v>71</v>
      </c>
      <c r="E33" s="5" t="s">
        <v>114</v>
      </c>
      <c r="F33" s="6" t="s">
        <v>31</v>
      </c>
      <c r="G33" s="6"/>
    </row>
    <row r="34" ht="15.75" customHeight="1">
      <c r="A34" s="5" t="s">
        <v>28</v>
      </c>
      <c r="B34" s="5" t="s">
        <v>25</v>
      </c>
      <c r="C34" s="5" t="s">
        <v>115</v>
      </c>
      <c r="D34" s="5" t="s">
        <v>71</v>
      </c>
      <c r="E34" s="5" t="s">
        <v>116</v>
      </c>
      <c r="F34" s="6" t="s">
        <v>31</v>
      </c>
      <c r="G34" s="6"/>
    </row>
    <row r="35" ht="15.75" customHeight="1">
      <c r="A35" s="5" t="s">
        <v>28</v>
      </c>
      <c r="B35" s="5" t="s">
        <v>25</v>
      </c>
      <c r="C35" s="5" t="s">
        <v>117</v>
      </c>
      <c r="D35" s="5" t="s">
        <v>71</v>
      </c>
      <c r="E35" s="5" t="s">
        <v>118</v>
      </c>
      <c r="F35" s="6" t="s">
        <v>31</v>
      </c>
      <c r="G35" s="6"/>
    </row>
    <row r="36" ht="15.75" customHeight="1">
      <c r="A36" s="5" t="s">
        <v>28</v>
      </c>
      <c r="B36" s="5" t="s">
        <v>25</v>
      </c>
      <c r="C36" s="5" t="s">
        <v>119</v>
      </c>
      <c r="D36" s="5" t="s">
        <v>71</v>
      </c>
      <c r="E36" s="5" t="s">
        <v>120</v>
      </c>
      <c r="F36" s="6" t="s">
        <v>31</v>
      </c>
      <c r="G36" s="6"/>
    </row>
    <row r="37" ht="15.75" customHeight="1">
      <c r="A37" s="5" t="s">
        <v>28</v>
      </c>
      <c r="B37" s="5" t="s">
        <v>25</v>
      </c>
      <c r="C37" s="5" t="s">
        <v>121</v>
      </c>
      <c r="D37" s="5" t="s">
        <v>71</v>
      </c>
      <c r="E37" s="5" t="s">
        <v>122</v>
      </c>
      <c r="F37" s="6" t="s">
        <v>31</v>
      </c>
      <c r="G37" s="6"/>
    </row>
    <row r="38" ht="15.75" customHeight="1">
      <c r="A38" s="5" t="s">
        <v>28</v>
      </c>
      <c r="B38" s="5" t="s">
        <v>25</v>
      </c>
      <c r="C38" s="5" t="s">
        <v>123</v>
      </c>
      <c r="D38" s="5" t="s">
        <v>71</v>
      </c>
      <c r="E38" s="5" t="s">
        <v>124</v>
      </c>
      <c r="F38" s="6" t="s">
        <v>31</v>
      </c>
      <c r="G38" s="6"/>
    </row>
    <row r="39" ht="15.75" customHeight="1">
      <c r="A39" s="5" t="s">
        <v>28</v>
      </c>
      <c r="B39" s="5" t="s">
        <v>25</v>
      </c>
      <c r="C39" s="5" t="s">
        <v>125</v>
      </c>
      <c r="D39" s="5" t="s">
        <v>71</v>
      </c>
      <c r="E39" s="5" t="s">
        <v>126</v>
      </c>
      <c r="F39" s="6" t="s">
        <v>31</v>
      </c>
      <c r="G39" s="6" t="s">
        <v>127</v>
      </c>
    </row>
    <row r="40" ht="15.75" customHeight="1">
      <c r="A40" s="5" t="s">
        <v>28</v>
      </c>
      <c r="B40" s="5" t="s">
        <v>25</v>
      </c>
      <c r="C40" s="5" t="s">
        <v>128</v>
      </c>
      <c r="D40" s="5" t="s">
        <v>71</v>
      </c>
      <c r="E40" s="5" t="s">
        <v>129</v>
      </c>
      <c r="F40" s="6" t="s">
        <v>31</v>
      </c>
      <c r="G40" s="6"/>
    </row>
    <row r="41" ht="15.75" customHeight="1">
      <c r="A41" s="5" t="s">
        <v>28</v>
      </c>
      <c r="B41" s="5" t="s">
        <v>25</v>
      </c>
      <c r="C41" s="5" t="s">
        <v>130</v>
      </c>
      <c r="D41" s="5" t="s">
        <v>71</v>
      </c>
      <c r="E41" s="5" t="s">
        <v>131</v>
      </c>
      <c r="F41" s="6" t="s">
        <v>19</v>
      </c>
      <c r="G41" s="6"/>
    </row>
    <row r="42" ht="15.75" customHeight="1">
      <c r="A42" s="5" t="s">
        <v>28</v>
      </c>
      <c r="B42" s="5" t="s">
        <v>25</v>
      </c>
      <c r="C42" s="5" t="s">
        <v>132</v>
      </c>
      <c r="D42" s="5" t="s">
        <v>71</v>
      </c>
      <c r="E42" s="5" t="s">
        <v>133</v>
      </c>
      <c r="F42" s="6" t="s">
        <v>19</v>
      </c>
      <c r="G42" s="6"/>
    </row>
    <row r="43" ht="15.75" customHeight="1">
      <c r="A43" s="5" t="s">
        <v>34</v>
      </c>
      <c r="B43" s="5" t="s">
        <v>33</v>
      </c>
      <c r="C43" s="5" t="s">
        <v>35</v>
      </c>
      <c r="D43" s="5" t="s">
        <v>134</v>
      </c>
      <c r="E43" s="5" t="s">
        <v>135</v>
      </c>
      <c r="F43" s="6" t="s">
        <v>31</v>
      </c>
      <c r="G43" s="6"/>
    </row>
    <row r="44" ht="15.75" customHeight="1">
      <c r="A44" s="5" t="s">
        <v>34</v>
      </c>
      <c r="B44" s="5" t="s">
        <v>33</v>
      </c>
      <c r="C44" s="5" t="s">
        <v>49</v>
      </c>
      <c r="D44" s="5" t="s">
        <v>134</v>
      </c>
      <c r="E44" s="5" t="s">
        <v>136</v>
      </c>
      <c r="F44" s="6" t="s">
        <v>19</v>
      </c>
      <c r="G44" s="6"/>
    </row>
    <row r="45" ht="15.75" customHeight="1">
      <c r="A45" s="5" t="s">
        <v>34</v>
      </c>
      <c r="B45" s="5" t="s">
        <v>33</v>
      </c>
      <c r="C45" s="5" t="s">
        <v>52</v>
      </c>
      <c r="D45" s="5" t="s">
        <v>137</v>
      </c>
      <c r="E45" s="5" t="s">
        <v>138</v>
      </c>
      <c r="F45" s="6" t="s">
        <v>31</v>
      </c>
      <c r="G45" s="6"/>
    </row>
    <row r="46" ht="15.75" customHeight="1">
      <c r="A46" s="5" t="s">
        <v>34</v>
      </c>
      <c r="B46" s="5" t="s">
        <v>33</v>
      </c>
      <c r="C46" s="5" t="s">
        <v>54</v>
      </c>
      <c r="D46" s="5" t="s">
        <v>137</v>
      </c>
      <c r="E46" s="5" t="s">
        <v>139</v>
      </c>
      <c r="F46" s="6" t="s">
        <v>31</v>
      </c>
      <c r="G46" s="6"/>
    </row>
    <row r="47" ht="15.75" customHeight="1">
      <c r="A47" s="5" t="s">
        <v>34</v>
      </c>
      <c r="B47" s="5" t="s">
        <v>33</v>
      </c>
      <c r="C47" s="5" t="s">
        <v>56</v>
      </c>
      <c r="D47" s="5" t="s">
        <v>137</v>
      </c>
      <c r="E47" s="5" t="s">
        <v>140</v>
      </c>
      <c r="F47" s="6" t="s">
        <v>31</v>
      </c>
      <c r="G47" s="6"/>
    </row>
    <row r="48" ht="15.75" customHeight="1">
      <c r="A48" s="5" t="s">
        <v>34</v>
      </c>
      <c r="B48" s="5" t="s">
        <v>33</v>
      </c>
      <c r="C48" s="5" t="s">
        <v>58</v>
      </c>
      <c r="D48" s="5" t="s">
        <v>137</v>
      </c>
      <c r="E48" s="5" t="s">
        <v>141</v>
      </c>
      <c r="F48" s="6" t="s">
        <v>31</v>
      </c>
      <c r="G48" s="6"/>
    </row>
    <row r="49" ht="15.75" customHeight="1">
      <c r="A49" s="5" t="s">
        <v>34</v>
      </c>
      <c r="B49" s="5" t="s">
        <v>33</v>
      </c>
      <c r="C49" s="5" t="s">
        <v>60</v>
      </c>
      <c r="D49" s="5" t="s">
        <v>137</v>
      </c>
      <c r="E49" s="5" t="s">
        <v>142</v>
      </c>
      <c r="F49" s="6" t="s">
        <v>31</v>
      </c>
      <c r="G49" s="6"/>
    </row>
    <row r="50" ht="15.75" customHeight="1">
      <c r="A50" s="5" t="s">
        <v>34</v>
      </c>
      <c r="B50" s="5" t="s">
        <v>33</v>
      </c>
      <c r="C50" s="5" t="s">
        <v>63</v>
      </c>
      <c r="D50" s="5" t="s">
        <v>137</v>
      </c>
      <c r="E50" s="5" t="s">
        <v>143</v>
      </c>
      <c r="F50" s="6" t="s">
        <v>31</v>
      </c>
      <c r="G50" s="6"/>
    </row>
    <row r="51" ht="15.75" customHeight="1">
      <c r="A51" s="5" t="s">
        <v>34</v>
      </c>
      <c r="B51" s="5" t="s">
        <v>33</v>
      </c>
      <c r="C51" s="5" t="s">
        <v>66</v>
      </c>
      <c r="D51" s="5" t="s">
        <v>144</v>
      </c>
      <c r="E51" s="5" t="s">
        <v>145</v>
      </c>
      <c r="F51" s="6" t="s">
        <v>31</v>
      </c>
      <c r="G51" s="6" t="s">
        <v>146</v>
      </c>
    </row>
    <row r="52" ht="15.75" customHeight="1">
      <c r="A52" s="5" t="s">
        <v>34</v>
      </c>
      <c r="B52" s="5" t="s">
        <v>33</v>
      </c>
      <c r="C52" s="5" t="s">
        <v>68</v>
      </c>
      <c r="D52" s="5" t="s">
        <v>144</v>
      </c>
      <c r="E52" s="5" t="s">
        <v>147</v>
      </c>
      <c r="F52" s="6" t="s">
        <v>19</v>
      </c>
      <c r="G52" s="6"/>
    </row>
    <row r="53" ht="15.75" customHeight="1">
      <c r="A53" s="5" t="s">
        <v>34</v>
      </c>
      <c r="B53" s="5" t="s">
        <v>33</v>
      </c>
      <c r="C53" s="5" t="s">
        <v>70</v>
      </c>
      <c r="D53" s="5" t="s">
        <v>144</v>
      </c>
      <c r="E53" s="5" t="s">
        <v>148</v>
      </c>
      <c r="F53" s="6" t="s">
        <v>19</v>
      </c>
      <c r="G53" s="6"/>
    </row>
    <row r="54" ht="15.75" customHeight="1">
      <c r="A54" s="5" t="s">
        <v>34</v>
      </c>
      <c r="B54" s="5" t="s">
        <v>33</v>
      </c>
      <c r="C54" s="5" t="s">
        <v>73</v>
      </c>
      <c r="D54" s="5" t="s">
        <v>144</v>
      </c>
      <c r="E54" s="5" t="s">
        <v>149</v>
      </c>
      <c r="F54" s="6" t="s">
        <v>19</v>
      </c>
      <c r="G54" s="6"/>
    </row>
    <row r="55" ht="15.75" customHeight="1">
      <c r="A55" s="5" t="s">
        <v>34</v>
      </c>
      <c r="B55" s="5" t="s">
        <v>33</v>
      </c>
      <c r="C55" s="5" t="s">
        <v>75</v>
      </c>
      <c r="D55" s="5" t="s">
        <v>144</v>
      </c>
      <c r="E55" s="5" t="s">
        <v>150</v>
      </c>
      <c r="F55" s="6" t="s">
        <v>19</v>
      </c>
      <c r="G55" s="6"/>
    </row>
    <row r="56" ht="15.75" customHeight="1">
      <c r="A56" s="5" t="s">
        <v>34</v>
      </c>
      <c r="B56" s="5" t="s">
        <v>33</v>
      </c>
      <c r="C56" s="5" t="s">
        <v>77</v>
      </c>
      <c r="D56" s="5" t="s">
        <v>151</v>
      </c>
      <c r="E56" s="5" t="s">
        <v>152</v>
      </c>
      <c r="F56" s="6" t="s">
        <v>19</v>
      </c>
      <c r="G56" s="6"/>
    </row>
    <row r="57" ht="15.75" customHeight="1">
      <c r="A57" s="5" t="s">
        <v>34</v>
      </c>
      <c r="B57" s="5" t="s">
        <v>33</v>
      </c>
      <c r="C57" s="5" t="s">
        <v>79</v>
      </c>
      <c r="D57" s="5" t="s">
        <v>151</v>
      </c>
      <c r="E57" s="5" t="s">
        <v>153</v>
      </c>
      <c r="F57" s="6" t="s">
        <v>19</v>
      </c>
      <c r="G57" s="6"/>
    </row>
    <row r="58" ht="15.75" customHeight="1">
      <c r="A58" s="5" t="s">
        <v>34</v>
      </c>
      <c r="B58" s="5" t="s">
        <v>33</v>
      </c>
      <c r="C58" s="5" t="s">
        <v>81</v>
      </c>
      <c r="D58" s="5" t="s">
        <v>71</v>
      </c>
      <c r="E58" s="5" t="s">
        <v>154</v>
      </c>
      <c r="F58" s="6" t="s">
        <v>31</v>
      </c>
      <c r="G58" s="6"/>
    </row>
    <row r="59" ht="15.75" customHeight="1">
      <c r="A59" s="5" t="s">
        <v>34</v>
      </c>
      <c r="B59" s="5" t="s">
        <v>33</v>
      </c>
      <c r="C59" s="5" t="s">
        <v>83</v>
      </c>
      <c r="D59" s="5" t="s">
        <v>71</v>
      </c>
      <c r="E59" s="5" t="s">
        <v>155</v>
      </c>
      <c r="F59" s="6" t="s">
        <v>31</v>
      </c>
      <c r="G59" s="6"/>
    </row>
    <row r="60" ht="15.75" customHeight="1">
      <c r="A60" s="5" t="s">
        <v>34</v>
      </c>
      <c r="B60" s="5" t="s">
        <v>33</v>
      </c>
      <c r="C60" s="5" t="s">
        <v>85</v>
      </c>
      <c r="D60" s="5" t="s">
        <v>71</v>
      </c>
      <c r="E60" s="5" t="s">
        <v>156</v>
      </c>
      <c r="F60" s="6" t="s">
        <v>31</v>
      </c>
      <c r="G60" s="6"/>
    </row>
    <row r="61" ht="15.75" customHeight="1">
      <c r="A61" s="5" t="s">
        <v>34</v>
      </c>
      <c r="B61" s="5" t="s">
        <v>33</v>
      </c>
      <c r="C61" s="5" t="s">
        <v>87</v>
      </c>
      <c r="D61" s="5" t="s">
        <v>71</v>
      </c>
      <c r="E61" s="5" t="s">
        <v>157</v>
      </c>
      <c r="F61" s="6" t="s">
        <v>31</v>
      </c>
      <c r="G61" s="6"/>
    </row>
    <row r="62" ht="15.75" customHeight="1">
      <c r="A62" s="5" t="s">
        <v>34</v>
      </c>
      <c r="B62" s="5" t="s">
        <v>33</v>
      </c>
      <c r="C62" s="5" t="s">
        <v>89</v>
      </c>
      <c r="D62" s="5" t="s">
        <v>71</v>
      </c>
      <c r="E62" s="5" t="s">
        <v>158</v>
      </c>
      <c r="F62" s="6" t="s">
        <v>31</v>
      </c>
      <c r="G62" s="6"/>
    </row>
    <row r="63" ht="15.75" customHeight="1">
      <c r="A63" s="5" t="s">
        <v>34</v>
      </c>
      <c r="B63" s="5" t="s">
        <v>33</v>
      </c>
      <c r="C63" s="5" t="s">
        <v>91</v>
      </c>
      <c r="D63" s="5" t="s">
        <v>71</v>
      </c>
      <c r="E63" s="5" t="s">
        <v>159</v>
      </c>
      <c r="F63" s="6" t="s">
        <v>31</v>
      </c>
      <c r="G63" s="6"/>
    </row>
    <row r="64" ht="15.75" customHeight="1">
      <c r="A64" s="5" t="s">
        <v>34</v>
      </c>
      <c r="B64" s="5" t="s">
        <v>33</v>
      </c>
      <c r="C64" s="5" t="s">
        <v>93</v>
      </c>
      <c r="D64" s="5" t="s">
        <v>71</v>
      </c>
      <c r="E64" s="5" t="s">
        <v>160</v>
      </c>
      <c r="F64" s="6" t="s">
        <v>31</v>
      </c>
      <c r="G64" s="6"/>
    </row>
    <row r="65" ht="15.75" customHeight="1">
      <c r="A65" s="5" t="s">
        <v>34</v>
      </c>
      <c r="B65" s="5" t="s">
        <v>33</v>
      </c>
      <c r="C65" s="5" t="s">
        <v>95</v>
      </c>
      <c r="D65" s="5" t="s">
        <v>71</v>
      </c>
      <c r="E65" s="5" t="s">
        <v>161</v>
      </c>
      <c r="F65" s="6" t="s">
        <v>31</v>
      </c>
      <c r="G65" s="6"/>
    </row>
    <row r="66" ht="15.75" customHeight="1">
      <c r="A66" s="5" t="s">
        <v>34</v>
      </c>
      <c r="B66" s="5" t="s">
        <v>33</v>
      </c>
      <c r="C66" s="5" t="s">
        <v>97</v>
      </c>
      <c r="D66" s="5" t="s">
        <v>71</v>
      </c>
      <c r="E66" s="5" t="s">
        <v>162</v>
      </c>
      <c r="F66" s="6" t="s">
        <v>31</v>
      </c>
      <c r="G66" s="6"/>
    </row>
    <row r="67" ht="15.75" customHeight="1">
      <c r="A67" s="5" t="s">
        <v>34</v>
      </c>
      <c r="B67" s="5" t="s">
        <v>33</v>
      </c>
      <c r="C67" s="5" t="s">
        <v>99</v>
      </c>
      <c r="D67" s="5" t="s">
        <v>71</v>
      </c>
      <c r="E67" s="5" t="s">
        <v>163</v>
      </c>
      <c r="F67" s="6" t="s">
        <v>31</v>
      </c>
      <c r="G67" s="6"/>
    </row>
    <row r="68" ht="15.75" customHeight="1">
      <c r="A68" s="5" t="s">
        <v>34</v>
      </c>
      <c r="B68" s="5" t="s">
        <v>33</v>
      </c>
      <c r="C68" s="5" t="s">
        <v>101</v>
      </c>
      <c r="D68" s="5" t="s">
        <v>71</v>
      </c>
      <c r="E68" s="5" t="s">
        <v>164</v>
      </c>
      <c r="F68" s="6" t="s">
        <v>31</v>
      </c>
      <c r="G68" s="6"/>
    </row>
    <row r="69" ht="15.75" customHeight="1">
      <c r="A69" s="5" t="s">
        <v>34</v>
      </c>
      <c r="B69" s="5" t="s">
        <v>33</v>
      </c>
      <c r="C69" s="5" t="s">
        <v>103</v>
      </c>
      <c r="D69" s="5" t="s">
        <v>71</v>
      </c>
      <c r="E69" s="5" t="s">
        <v>165</v>
      </c>
      <c r="F69" s="6" t="s">
        <v>31</v>
      </c>
      <c r="G69" s="6"/>
    </row>
    <row r="70" ht="15.75" customHeight="1">
      <c r="A70" s="5" t="s">
        <v>34</v>
      </c>
      <c r="B70" s="5" t="s">
        <v>33</v>
      </c>
      <c r="C70" s="5" t="s">
        <v>105</v>
      </c>
      <c r="D70" s="5" t="s">
        <v>71</v>
      </c>
      <c r="E70" s="5" t="s">
        <v>166</v>
      </c>
      <c r="F70" s="6" t="s">
        <v>31</v>
      </c>
      <c r="G70" s="6" t="s">
        <v>167</v>
      </c>
    </row>
    <row r="71" ht="15.75" customHeight="1">
      <c r="A71" s="5" t="s">
        <v>34</v>
      </c>
      <c r="B71" s="5" t="s">
        <v>33</v>
      </c>
      <c r="C71" s="5" t="s">
        <v>107</v>
      </c>
      <c r="D71" s="5" t="s">
        <v>71</v>
      </c>
      <c r="E71" s="5" t="s">
        <v>168</v>
      </c>
      <c r="F71" s="6" t="s">
        <v>31</v>
      </c>
      <c r="G71" s="6" t="s">
        <v>169</v>
      </c>
    </row>
    <row r="72" ht="15.75" customHeight="1">
      <c r="A72" s="5" t="s">
        <v>34</v>
      </c>
      <c r="B72" s="5" t="s">
        <v>33</v>
      </c>
      <c r="C72" s="5" t="s">
        <v>109</v>
      </c>
      <c r="D72" s="5" t="s">
        <v>71</v>
      </c>
      <c r="E72" s="5" t="s">
        <v>170</v>
      </c>
      <c r="F72" s="6" t="s">
        <v>31</v>
      </c>
      <c r="G72" s="6"/>
    </row>
    <row r="73" ht="15.75" customHeight="1">
      <c r="A73" s="5" t="s">
        <v>34</v>
      </c>
      <c r="B73" s="5" t="s">
        <v>33</v>
      </c>
      <c r="C73" s="5" t="s">
        <v>111</v>
      </c>
      <c r="D73" s="5" t="s">
        <v>71</v>
      </c>
      <c r="E73" s="5" t="s">
        <v>171</v>
      </c>
      <c r="F73" s="6" t="s">
        <v>31</v>
      </c>
      <c r="G73" s="6"/>
    </row>
    <row r="74" ht="15.75" customHeight="1">
      <c r="A74" s="5" t="s">
        <v>34</v>
      </c>
      <c r="B74" s="5" t="s">
        <v>33</v>
      </c>
      <c r="C74" s="5" t="s">
        <v>113</v>
      </c>
      <c r="D74" s="5" t="s">
        <v>71</v>
      </c>
      <c r="E74" s="5" t="s">
        <v>172</v>
      </c>
      <c r="F74" s="6" t="s">
        <v>31</v>
      </c>
      <c r="G74" s="6" t="s">
        <v>173</v>
      </c>
    </row>
    <row r="75" ht="15.75" customHeight="1">
      <c r="A75" s="5" t="s">
        <v>34</v>
      </c>
      <c r="B75" s="5" t="s">
        <v>33</v>
      </c>
      <c r="C75" s="5" t="s">
        <v>115</v>
      </c>
      <c r="D75" s="5" t="s">
        <v>71</v>
      </c>
      <c r="E75" s="5" t="s">
        <v>174</v>
      </c>
      <c r="F75" s="6" t="s">
        <v>31</v>
      </c>
      <c r="G75" s="6"/>
    </row>
    <row r="76" ht="15.75" customHeight="1">
      <c r="A76" s="5" t="s">
        <v>34</v>
      </c>
      <c r="B76" s="5" t="s">
        <v>33</v>
      </c>
      <c r="C76" s="5" t="s">
        <v>117</v>
      </c>
      <c r="D76" s="5" t="s">
        <v>71</v>
      </c>
      <c r="E76" s="5" t="s">
        <v>175</v>
      </c>
      <c r="F76" s="6" t="s">
        <v>31</v>
      </c>
      <c r="G76" s="6"/>
    </row>
    <row r="77" ht="15.75" customHeight="1">
      <c r="A77" s="5" t="s">
        <v>34</v>
      </c>
      <c r="B77" s="5" t="s">
        <v>33</v>
      </c>
      <c r="C77" s="5" t="s">
        <v>119</v>
      </c>
      <c r="D77" s="5" t="s">
        <v>71</v>
      </c>
      <c r="E77" s="5" t="s">
        <v>176</v>
      </c>
      <c r="F77" s="6" t="s">
        <v>31</v>
      </c>
      <c r="G77" s="6"/>
    </row>
    <row r="78" ht="15.75" customHeight="1">
      <c r="A78" s="5" t="s">
        <v>34</v>
      </c>
      <c r="B78" s="5" t="s">
        <v>33</v>
      </c>
      <c r="C78" s="5" t="s">
        <v>121</v>
      </c>
      <c r="D78" s="5" t="s">
        <v>71</v>
      </c>
      <c r="E78" s="5" t="s">
        <v>177</v>
      </c>
      <c r="F78" s="6" t="s">
        <v>31</v>
      </c>
      <c r="G78" s="6"/>
    </row>
    <row r="79" ht="15.75" customHeight="1">
      <c r="A79" s="5" t="s">
        <v>34</v>
      </c>
      <c r="B79" s="5" t="s">
        <v>33</v>
      </c>
      <c r="C79" s="5" t="s">
        <v>123</v>
      </c>
      <c r="D79" s="5" t="s">
        <v>71</v>
      </c>
      <c r="E79" s="5" t="s">
        <v>178</v>
      </c>
      <c r="F79" s="6" t="s">
        <v>31</v>
      </c>
      <c r="G79" s="6"/>
    </row>
    <row r="80" ht="15.75" customHeight="1">
      <c r="A80" s="5" t="s">
        <v>34</v>
      </c>
      <c r="B80" s="5" t="s">
        <v>33</v>
      </c>
      <c r="C80" s="5" t="s">
        <v>125</v>
      </c>
      <c r="D80" s="5" t="s">
        <v>71</v>
      </c>
      <c r="E80" s="5" t="s">
        <v>179</v>
      </c>
      <c r="F80" s="6" t="s">
        <v>31</v>
      </c>
      <c r="G80" s="6"/>
    </row>
    <row r="81" ht="15.75" customHeight="1">
      <c r="A81" s="5" t="s">
        <v>34</v>
      </c>
      <c r="B81" s="5" t="s">
        <v>33</v>
      </c>
      <c r="C81" s="5" t="s">
        <v>128</v>
      </c>
      <c r="D81" s="5" t="s">
        <v>71</v>
      </c>
      <c r="E81" s="5" t="s">
        <v>180</v>
      </c>
      <c r="F81" s="6" t="s">
        <v>19</v>
      </c>
      <c r="G81" s="6"/>
    </row>
    <row r="82" ht="15.75" customHeight="1">
      <c r="A82" s="5" t="s">
        <v>34</v>
      </c>
      <c r="B82" s="5" t="s">
        <v>33</v>
      </c>
      <c r="C82" s="5" t="s">
        <v>130</v>
      </c>
      <c r="D82" s="5" t="s">
        <v>71</v>
      </c>
      <c r="E82" s="5" t="s">
        <v>181</v>
      </c>
      <c r="F82" s="6" t="s">
        <v>31</v>
      </c>
      <c r="G82" s="6" t="s">
        <v>182</v>
      </c>
    </row>
    <row r="83" ht="15.75" customHeight="1">
      <c r="A83" s="5" t="s">
        <v>41</v>
      </c>
      <c r="B83" s="5" t="s">
        <v>40</v>
      </c>
      <c r="C83" s="5" t="s">
        <v>35</v>
      </c>
      <c r="D83" s="5" t="s">
        <v>134</v>
      </c>
      <c r="E83" s="5" t="s">
        <v>183</v>
      </c>
      <c r="F83" s="6" t="s">
        <v>19</v>
      </c>
      <c r="G83" s="6"/>
    </row>
    <row r="84" ht="15.75" customHeight="1">
      <c r="A84" s="5" t="s">
        <v>41</v>
      </c>
      <c r="B84" s="5" t="s">
        <v>40</v>
      </c>
      <c r="C84" s="5" t="s">
        <v>49</v>
      </c>
      <c r="D84" s="5" t="s">
        <v>137</v>
      </c>
      <c r="E84" s="5" t="s">
        <v>184</v>
      </c>
      <c r="F84" s="6" t="s">
        <v>31</v>
      </c>
      <c r="G84" s="6"/>
    </row>
    <row r="85" ht="15.75" customHeight="1">
      <c r="A85" s="5" t="s">
        <v>41</v>
      </c>
      <c r="B85" s="5" t="s">
        <v>40</v>
      </c>
      <c r="C85" s="5" t="s">
        <v>52</v>
      </c>
      <c r="D85" s="5" t="s">
        <v>137</v>
      </c>
      <c r="E85" s="5" t="s">
        <v>185</v>
      </c>
      <c r="F85" s="6" t="s">
        <v>31</v>
      </c>
      <c r="G85" s="6"/>
    </row>
    <row r="86" ht="15.75" customHeight="1">
      <c r="A86" s="5" t="s">
        <v>41</v>
      </c>
      <c r="B86" s="5" t="s">
        <v>40</v>
      </c>
      <c r="C86" s="5" t="s">
        <v>54</v>
      </c>
      <c r="D86" s="5" t="s">
        <v>137</v>
      </c>
      <c r="E86" s="5" t="s">
        <v>186</v>
      </c>
      <c r="F86" s="6" t="s">
        <v>31</v>
      </c>
      <c r="G86" s="6"/>
    </row>
    <row r="87" ht="15.75" customHeight="1">
      <c r="A87" s="5" t="s">
        <v>41</v>
      </c>
      <c r="B87" s="5" t="s">
        <v>40</v>
      </c>
      <c r="C87" s="5" t="s">
        <v>56</v>
      </c>
      <c r="D87" s="5" t="s">
        <v>137</v>
      </c>
      <c r="E87" s="5" t="s">
        <v>187</v>
      </c>
      <c r="F87" s="6" t="s">
        <v>31</v>
      </c>
      <c r="G87" s="6"/>
    </row>
    <row r="88" ht="15.75" customHeight="1">
      <c r="A88" s="5" t="s">
        <v>41</v>
      </c>
      <c r="B88" s="5" t="s">
        <v>40</v>
      </c>
      <c r="C88" s="5" t="s">
        <v>58</v>
      </c>
      <c r="D88" s="5" t="s">
        <v>137</v>
      </c>
      <c r="E88" s="5" t="s">
        <v>188</v>
      </c>
      <c r="F88" s="6" t="s">
        <v>31</v>
      </c>
      <c r="G88" s="6"/>
    </row>
    <row r="89" ht="15.75" customHeight="1">
      <c r="A89" s="5" t="s">
        <v>41</v>
      </c>
      <c r="B89" s="5" t="s">
        <v>40</v>
      </c>
      <c r="C89" s="5" t="s">
        <v>60</v>
      </c>
      <c r="D89" s="5" t="s">
        <v>137</v>
      </c>
      <c r="E89" s="5" t="s">
        <v>189</v>
      </c>
      <c r="F89" s="6" t="s">
        <v>31</v>
      </c>
      <c r="G89" s="6" t="s">
        <v>190</v>
      </c>
    </row>
    <row r="90" ht="15.75" customHeight="1">
      <c r="A90" s="5" t="s">
        <v>41</v>
      </c>
      <c r="B90" s="5" t="s">
        <v>40</v>
      </c>
      <c r="C90" s="5" t="s">
        <v>63</v>
      </c>
      <c r="D90" s="5" t="s">
        <v>144</v>
      </c>
      <c r="E90" s="5" t="s">
        <v>191</v>
      </c>
      <c r="F90" s="6" t="s">
        <v>19</v>
      </c>
      <c r="G90" s="6" t="s">
        <v>192</v>
      </c>
    </row>
    <row r="91" ht="15.75" customHeight="1">
      <c r="A91" s="5" t="s">
        <v>41</v>
      </c>
      <c r="B91" s="5" t="s">
        <v>40</v>
      </c>
      <c r="C91" s="5" t="s">
        <v>66</v>
      </c>
      <c r="D91" s="5" t="s">
        <v>144</v>
      </c>
      <c r="E91" s="5" t="s">
        <v>193</v>
      </c>
      <c r="F91" s="6" t="s">
        <v>19</v>
      </c>
      <c r="G91" s="6"/>
    </row>
    <row r="92" ht="15.75" customHeight="1">
      <c r="A92" s="5" t="s">
        <v>41</v>
      </c>
      <c r="B92" s="5" t="s">
        <v>40</v>
      </c>
      <c r="C92" s="5" t="s">
        <v>68</v>
      </c>
      <c r="D92" s="5" t="s">
        <v>144</v>
      </c>
      <c r="E92" s="5" t="s">
        <v>194</v>
      </c>
      <c r="F92" s="6" t="s">
        <v>19</v>
      </c>
      <c r="G92" s="6"/>
    </row>
    <row r="93" ht="15.75" customHeight="1">
      <c r="A93" s="5" t="s">
        <v>41</v>
      </c>
      <c r="B93" s="5" t="s">
        <v>40</v>
      </c>
      <c r="C93" s="5" t="s">
        <v>70</v>
      </c>
      <c r="D93" s="5" t="s">
        <v>144</v>
      </c>
      <c r="E93" s="5" t="s">
        <v>195</v>
      </c>
      <c r="F93" s="6" t="s">
        <v>19</v>
      </c>
      <c r="G93" s="6"/>
    </row>
    <row r="94" ht="15.75" customHeight="1">
      <c r="A94" s="5" t="s">
        <v>41</v>
      </c>
      <c r="B94" s="5" t="s">
        <v>40</v>
      </c>
      <c r="C94" s="5" t="s">
        <v>73</v>
      </c>
      <c r="D94" s="5" t="s">
        <v>144</v>
      </c>
      <c r="E94" s="5" t="s">
        <v>196</v>
      </c>
      <c r="F94" s="6" t="s">
        <v>19</v>
      </c>
      <c r="G94" s="6"/>
    </row>
    <row r="95" ht="15.75" customHeight="1">
      <c r="A95" s="5" t="s">
        <v>41</v>
      </c>
      <c r="B95" s="5" t="s">
        <v>40</v>
      </c>
      <c r="C95" s="5" t="s">
        <v>75</v>
      </c>
      <c r="D95" s="5" t="s">
        <v>144</v>
      </c>
      <c r="E95" s="5" t="s">
        <v>197</v>
      </c>
      <c r="F95" s="6" t="s">
        <v>19</v>
      </c>
      <c r="G95" s="6"/>
    </row>
    <row r="96" ht="15.75" customHeight="1">
      <c r="A96" s="5" t="s">
        <v>41</v>
      </c>
      <c r="B96" s="5" t="s">
        <v>40</v>
      </c>
      <c r="C96" s="5" t="s">
        <v>77</v>
      </c>
      <c r="D96" s="5" t="s">
        <v>151</v>
      </c>
      <c r="E96" s="5" t="s">
        <v>198</v>
      </c>
      <c r="F96" s="6" t="s">
        <v>19</v>
      </c>
      <c r="G96" s="6"/>
    </row>
    <row r="97" ht="15.75" customHeight="1">
      <c r="A97" s="5" t="s">
        <v>41</v>
      </c>
      <c r="B97" s="5" t="s">
        <v>40</v>
      </c>
      <c r="C97" s="5" t="s">
        <v>79</v>
      </c>
      <c r="D97" s="5" t="s">
        <v>151</v>
      </c>
      <c r="E97" s="5" t="s">
        <v>199</v>
      </c>
      <c r="F97" s="6" t="s">
        <v>19</v>
      </c>
      <c r="G97" s="6"/>
    </row>
    <row r="98" ht="15.75" customHeight="1">
      <c r="A98" s="5" t="s">
        <v>41</v>
      </c>
      <c r="B98" s="5" t="s">
        <v>40</v>
      </c>
      <c r="C98" s="5" t="s">
        <v>81</v>
      </c>
      <c r="D98" s="5" t="s">
        <v>71</v>
      </c>
      <c r="E98" s="5" t="s">
        <v>200</v>
      </c>
      <c r="F98" s="6" t="s">
        <v>31</v>
      </c>
      <c r="G98" s="6"/>
    </row>
    <row r="99" ht="15.75" customHeight="1">
      <c r="A99" s="5" t="s">
        <v>41</v>
      </c>
      <c r="B99" s="5" t="s">
        <v>40</v>
      </c>
      <c r="C99" s="5" t="s">
        <v>83</v>
      </c>
      <c r="D99" s="5" t="s">
        <v>71</v>
      </c>
      <c r="E99" s="5" t="s">
        <v>201</v>
      </c>
      <c r="F99" s="6" t="s">
        <v>31</v>
      </c>
      <c r="G99" s="6"/>
    </row>
    <row r="100" ht="15.75" customHeight="1">
      <c r="A100" s="5" t="s">
        <v>41</v>
      </c>
      <c r="B100" s="5" t="s">
        <v>40</v>
      </c>
      <c r="C100" s="5" t="s">
        <v>85</v>
      </c>
      <c r="D100" s="5" t="s">
        <v>71</v>
      </c>
      <c r="E100" s="5" t="s">
        <v>202</v>
      </c>
      <c r="F100" s="6" t="s">
        <v>31</v>
      </c>
      <c r="G100" s="6"/>
    </row>
    <row r="101" ht="15.75" customHeight="1">
      <c r="A101" s="5" t="s">
        <v>41</v>
      </c>
      <c r="B101" s="5" t="s">
        <v>40</v>
      </c>
      <c r="C101" s="5" t="s">
        <v>87</v>
      </c>
      <c r="D101" s="5" t="s">
        <v>71</v>
      </c>
      <c r="E101" s="5" t="s">
        <v>203</v>
      </c>
      <c r="F101" s="6" t="s">
        <v>31</v>
      </c>
      <c r="G101" s="6"/>
    </row>
    <row r="102" ht="15.75" customHeight="1">
      <c r="A102" s="5" t="s">
        <v>41</v>
      </c>
      <c r="B102" s="5" t="s">
        <v>40</v>
      </c>
      <c r="C102" s="5" t="s">
        <v>89</v>
      </c>
      <c r="D102" s="5" t="s">
        <v>71</v>
      </c>
      <c r="E102" s="5" t="s">
        <v>204</v>
      </c>
      <c r="F102" s="6" t="s">
        <v>31</v>
      </c>
      <c r="G102" s="6"/>
    </row>
    <row r="103" ht="15.75" customHeight="1">
      <c r="A103" s="5" t="s">
        <v>41</v>
      </c>
      <c r="B103" s="5" t="s">
        <v>40</v>
      </c>
      <c r="C103" s="5" t="s">
        <v>91</v>
      </c>
      <c r="D103" s="5" t="s">
        <v>71</v>
      </c>
      <c r="E103" s="5" t="s">
        <v>205</v>
      </c>
      <c r="F103" s="6" t="s">
        <v>31</v>
      </c>
      <c r="G103" s="6"/>
    </row>
    <row r="104" ht="15.75" customHeight="1">
      <c r="A104" s="5" t="s">
        <v>41</v>
      </c>
      <c r="B104" s="5" t="s">
        <v>40</v>
      </c>
      <c r="C104" s="5" t="s">
        <v>93</v>
      </c>
      <c r="D104" s="5" t="s">
        <v>71</v>
      </c>
      <c r="E104" s="5" t="s">
        <v>206</v>
      </c>
      <c r="F104" s="6" t="s">
        <v>31</v>
      </c>
      <c r="G104" s="6"/>
    </row>
    <row r="105" ht="15.75" customHeight="1">
      <c r="A105" s="5" t="s">
        <v>41</v>
      </c>
      <c r="B105" s="5" t="s">
        <v>40</v>
      </c>
      <c r="C105" s="5" t="s">
        <v>95</v>
      </c>
      <c r="D105" s="5" t="s">
        <v>71</v>
      </c>
      <c r="E105" s="5" t="s">
        <v>207</v>
      </c>
      <c r="F105" s="6" t="s">
        <v>31</v>
      </c>
      <c r="G105" s="6"/>
    </row>
    <row r="106" ht="15.75" customHeight="1">
      <c r="A106" s="5" t="s">
        <v>41</v>
      </c>
      <c r="B106" s="5" t="s">
        <v>40</v>
      </c>
      <c r="C106" s="5" t="s">
        <v>97</v>
      </c>
      <c r="D106" s="5" t="s">
        <v>71</v>
      </c>
      <c r="E106" s="5" t="s">
        <v>208</v>
      </c>
      <c r="F106" s="6" t="s">
        <v>31</v>
      </c>
      <c r="G106" s="6"/>
    </row>
    <row r="107" ht="15.75" customHeight="1">
      <c r="A107" s="5" t="s">
        <v>41</v>
      </c>
      <c r="B107" s="5" t="s">
        <v>40</v>
      </c>
      <c r="C107" s="5" t="s">
        <v>99</v>
      </c>
      <c r="D107" s="5" t="s">
        <v>71</v>
      </c>
      <c r="E107" s="5" t="s">
        <v>209</v>
      </c>
      <c r="F107" s="6" t="s">
        <v>31</v>
      </c>
      <c r="G107" s="6"/>
    </row>
    <row r="108" ht="15.75" customHeight="1">
      <c r="A108" s="5" t="s">
        <v>41</v>
      </c>
      <c r="B108" s="5" t="s">
        <v>40</v>
      </c>
      <c r="C108" s="5" t="s">
        <v>101</v>
      </c>
      <c r="D108" s="5" t="s">
        <v>71</v>
      </c>
      <c r="E108" s="5" t="s">
        <v>210</v>
      </c>
      <c r="F108" s="6" t="s">
        <v>31</v>
      </c>
      <c r="G108" s="6"/>
    </row>
    <row r="109" ht="15.75" customHeight="1">
      <c r="A109" s="5" t="s">
        <v>41</v>
      </c>
      <c r="B109" s="5" t="s">
        <v>40</v>
      </c>
      <c r="C109" s="5" t="s">
        <v>103</v>
      </c>
      <c r="D109" s="5" t="s">
        <v>71</v>
      </c>
      <c r="E109" s="5" t="s">
        <v>211</v>
      </c>
      <c r="F109" s="6" t="s">
        <v>19</v>
      </c>
      <c r="G109" s="6"/>
    </row>
    <row r="110" ht="15.75" customHeight="1">
      <c r="A110" s="5" t="s">
        <v>45</v>
      </c>
      <c r="B110" s="5" t="s">
        <v>44</v>
      </c>
      <c r="C110" s="5" t="s">
        <v>35</v>
      </c>
      <c r="D110" s="5" t="s">
        <v>37</v>
      </c>
      <c r="E110" s="5" t="s">
        <v>212</v>
      </c>
      <c r="F110" s="6" t="s">
        <v>19</v>
      </c>
      <c r="G110" s="6"/>
    </row>
    <row r="111" ht="15.75" customHeight="1">
      <c r="A111" s="5" t="s">
        <v>45</v>
      </c>
      <c r="B111" s="5" t="s">
        <v>44</v>
      </c>
      <c r="C111" s="5" t="s">
        <v>49</v>
      </c>
      <c r="D111" s="5" t="s">
        <v>37</v>
      </c>
      <c r="E111" s="5" t="s">
        <v>213</v>
      </c>
      <c r="F111" s="6" t="s">
        <v>31</v>
      </c>
      <c r="G111" s="6"/>
    </row>
    <row r="112" ht="15.75" customHeight="1">
      <c r="A112" s="5" t="s">
        <v>45</v>
      </c>
      <c r="B112" s="5" t="s">
        <v>44</v>
      </c>
      <c r="C112" s="5" t="s">
        <v>52</v>
      </c>
      <c r="D112" s="5" t="s">
        <v>37</v>
      </c>
      <c r="E112" s="5" t="s">
        <v>214</v>
      </c>
      <c r="F112" s="6" t="s">
        <v>31</v>
      </c>
      <c r="G112" s="6"/>
    </row>
    <row r="113" ht="15.75" customHeight="1">
      <c r="A113" s="5" t="s">
        <v>45</v>
      </c>
      <c r="B113" s="5" t="s">
        <v>44</v>
      </c>
      <c r="C113" s="5" t="s">
        <v>54</v>
      </c>
      <c r="D113" s="5" t="s">
        <v>37</v>
      </c>
      <c r="E113" s="5" t="s">
        <v>215</v>
      </c>
      <c r="F113" s="6" t="s">
        <v>31</v>
      </c>
      <c r="G113" s="6"/>
    </row>
    <row r="114" ht="15.75" customHeight="1">
      <c r="A114" s="5" t="s">
        <v>45</v>
      </c>
      <c r="B114" s="5" t="s">
        <v>44</v>
      </c>
      <c r="C114" s="5" t="s">
        <v>56</v>
      </c>
      <c r="D114" s="5" t="s">
        <v>37</v>
      </c>
      <c r="E114" s="5" t="s">
        <v>216</v>
      </c>
      <c r="F114" s="6" t="s">
        <v>31</v>
      </c>
      <c r="G114" s="6"/>
    </row>
    <row r="115" ht="15.75" customHeight="1">
      <c r="A115" s="5" t="s">
        <v>45</v>
      </c>
      <c r="B115" s="5" t="s">
        <v>44</v>
      </c>
      <c r="C115" s="5" t="s">
        <v>58</v>
      </c>
      <c r="D115" s="5" t="s">
        <v>37</v>
      </c>
      <c r="E115" s="5" t="s">
        <v>217</v>
      </c>
      <c r="F115" s="6" t="s">
        <v>31</v>
      </c>
      <c r="G115" s="6"/>
    </row>
    <row r="116" ht="15.75" customHeight="1">
      <c r="A116" s="5" t="s">
        <v>45</v>
      </c>
      <c r="B116" s="5" t="s">
        <v>44</v>
      </c>
      <c r="C116" s="5" t="s">
        <v>60</v>
      </c>
      <c r="D116" s="5" t="s">
        <v>37</v>
      </c>
      <c r="E116" s="5" t="s">
        <v>218</v>
      </c>
      <c r="F116" s="6" t="s">
        <v>31</v>
      </c>
      <c r="G116" s="6"/>
    </row>
    <row r="117" ht="15.75" customHeight="1">
      <c r="A117" s="5" t="s">
        <v>45</v>
      </c>
      <c r="B117" s="5" t="s">
        <v>44</v>
      </c>
      <c r="C117" s="5" t="s">
        <v>63</v>
      </c>
      <c r="D117" s="5" t="s">
        <v>37</v>
      </c>
      <c r="E117" s="5" t="s">
        <v>219</v>
      </c>
      <c r="F117" s="6" t="s">
        <v>31</v>
      </c>
      <c r="G117" s="6"/>
    </row>
    <row r="118" ht="15.75" customHeight="1">
      <c r="A118" s="5" t="s">
        <v>45</v>
      </c>
      <c r="B118" s="5" t="s">
        <v>44</v>
      </c>
      <c r="C118" s="5" t="s">
        <v>66</v>
      </c>
      <c r="D118" s="5" t="s">
        <v>37</v>
      </c>
      <c r="E118" s="5" t="s">
        <v>220</v>
      </c>
      <c r="F118" s="6" t="s">
        <v>19</v>
      </c>
      <c r="G118" s="6"/>
    </row>
    <row r="119" ht="15.75" customHeight="1">
      <c r="A119" s="5" t="s">
        <v>45</v>
      </c>
      <c r="B119" s="5" t="s">
        <v>44</v>
      </c>
      <c r="C119" s="5" t="s">
        <v>68</v>
      </c>
      <c r="D119" s="5" t="s">
        <v>37</v>
      </c>
      <c r="E119" s="5" t="s">
        <v>221</v>
      </c>
      <c r="F119" s="6" t="s">
        <v>19</v>
      </c>
      <c r="G119" s="6"/>
    </row>
    <row r="120" ht="15.75" customHeight="1">
      <c r="A120" s="5" t="s">
        <v>45</v>
      </c>
      <c r="B120" s="5" t="s">
        <v>44</v>
      </c>
      <c r="C120" s="5" t="s">
        <v>70</v>
      </c>
      <c r="D120" s="5" t="s">
        <v>37</v>
      </c>
      <c r="E120" s="5" t="s">
        <v>222</v>
      </c>
      <c r="F120" s="6" t="s">
        <v>19</v>
      </c>
      <c r="G120" s="6" t="s">
        <v>223</v>
      </c>
    </row>
    <row r="121" ht="15.75" customHeight="1">
      <c r="A121" s="5" t="s">
        <v>45</v>
      </c>
      <c r="B121" s="5" t="s">
        <v>44</v>
      </c>
      <c r="C121" s="5" t="s">
        <v>73</v>
      </c>
      <c r="D121" s="5" t="s">
        <v>71</v>
      </c>
      <c r="E121" s="5" t="s">
        <v>224</v>
      </c>
      <c r="F121" s="6" t="s">
        <v>31</v>
      </c>
      <c r="G121" s="6"/>
    </row>
    <row r="122" ht="15.75" customHeight="1">
      <c r="A122" s="5" t="s">
        <v>45</v>
      </c>
      <c r="B122" s="5" t="s">
        <v>44</v>
      </c>
      <c r="C122" s="5" t="s">
        <v>75</v>
      </c>
      <c r="D122" s="5" t="s">
        <v>71</v>
      </c>
      <c r="E122" s="5" t="s">
        <v>225</v>
      </c>
      <c r="F122" s="6" t="s">
        <v>31</v>
      </c>
      <c r="G122" s="6"/>
    </row>
    <row r="123" ht="15.75" customHeight="1">
      <c r="A123" s="5" t="s">
        <v>45</v>
      </c>
      <c r="B123" s="5" t="s">
        <v>44</v>
      </c>
      <c r="C123" s="5" t="s">
        <v>77</v>
      </c>
      <c r="D123" s="5" t="s">
        <v>71</v>
      </c>
      <c r="E123" s="5" t="s">
        <v>226</v>
      </c>
      <c r="F123" s="6" t="s">
        <v>31</v>
      </c>
      <c r="G123" s="6"/>
    </row>
    <row r="124" ht="15.75" customHeight="1">
      <c r="A124" s="5" t="s">
        <v>45</v>
      </c>
      <c r="B124" s="5" t="s">
        <v>44</v>
      </c>
      <c r="C124" s="5" t="s">
        <v>79</v>
      </c>
      <c r="D124" s="5" t="s">
        <v>71</v>
      </c>
      <c r="E124" s="5" t="s">
        <v>227</v>
      </c>
      <c r="F124" s="6" t="s">
        <v>31</v>
      </c>
      <c r="G124" s="6"/>
    </row>
    <row r="125" ht="15.75" customHeight="1">
      <c r="A125" s="5" t="s">
        <v>45</v>
      </c>
      <c r="B125" s="5" t="s">
        <v>44</v>
      </c>
      <c r="C125" s="5" t="s">
        <v>81</v>
      </c>
      <c r="D125" s="5" t="s">
        <v>71</v>
      </c>
      <c r="E125" s="5" t="s">
        <v>228</v>
      </c>
      <c r="F125" s="6" t="s">
        <v>31</v>
      </c>
      <c r="G125" s="6"/>
    </row>
    <row r="126" ht="15.75" customHeight="1">
      <c r="A126" s="5" t="s">
        <v>45</v>
      </c>
      <c r="B126" s="5" t="s">
        <v>44</v>
      </c>
      <c r="C126" s="5" t="s">
        <v>83</v>
      </c>
      <c r="D126" s="5" t="s">
        <v>71</v>
      </c>
      <c r="E126" s="5" t="s">
        <v>229</v>
      </c>
      <c r="F126" s="6" t="s">
        <v>31</v>
      </c>
      <c r="G126" s="6"/>
    </row>
    <row r="127" ht="15.75" customHeight="1">
      <c r="A127" s="5" t="s">
        <v>45</v>
      </c>
      <c r="B127" s="5" t="s">
        <v>44</v>
      </c>
      <c r="C127" s="5" t="s">
        <v>85</v>
      </c>
      <c r="D127" s="5" t="s">
        <v>71</v>
      </c>
      <c r="E127" s="5" t="s">
        <v>230</v>
      </c>
      <c r="F127" s="6" t="s">
        <v>31</v>
      </c>
      <c r="G127" s="6"/>
    </row>
    <row r="128" ht="15.75" customHeight="1">
      <c r="A128" s="5" t="s">
        <v>45</v>
      </c>
      <c r="B128" s="5" t="s">
        <v>44</v>
      </c>
      <c r="C128" s="5" t="s">
        <v>87</v>
      </c>
      <c r="D128" s="5" t="s">
        <v>71</v>
      </c>
      <c r="E128" s="5" t="s">
        <v>231</v>
      </c>
      <c r="F128" s="6" t="s">
        <v>19</v>
      </c>
      <c r="G128" s="6"/>
    </row>
    <row r="129" ht="15.75" customHeight="1">
      <c r="A129" s="5" t="s">
        <v>45</v>
      </c>
      <c r="B129" s="5" t="s">
        <v>44</v>
      </c>
      <c r="C129" s="5" t="s">
        <v>89</v>
      </c>
      <c r="D129" s="5" t="s">
        <v>71</v>
      </c>
      <c r="E129" s="5" t="s">
        <v>232</v>
      </c>
      <c r="F129" s="6" t="s">
        <v>19</v>
      </c>
      <c r="G129" s="6" t="s">
        <v>233</v>
      </c>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29"/>
  <dataValidations>
    <dataValidation type="list" allowBlank="1" showInputMessage="1" showErrorMessage="1" prompt="Invalid label - Pick CLAIM or BACKGROUND" sqref="F2:F129">
      <formula1>"CLAIM,BACKGROUND"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34.0"/>
    <col customWidth="1" min="3" max="3" width="90.0"/>
    <col customWidth="1" min="4" max="4" width="10.0"/>
    <col customWidth="1" min="5" max="5" width="45.0"/>
    <col customWidth="1" min="6" max="26" width="8.71"/>
  </cols>
  <sheetData>
    <row r="1">
      <c r="A1" s="4" t="s">
        <v>17</v>
      </c>
      <c r="B1" s="4" t="s">
        <v>18</v>
      </c>
      <c r="C1" s="4" t="s">
        <v>20</v>
      </c>
      <c r="D1" s="4" t="s">
        <v>21</v>
      </c>
      <c r="E1" s="4" t="s">
        <v>23</v>
      </c>
    </row>
    <row r="2">
      <c r="A2" s="5" t="s">
        <v>25</v>
      </c>
      <c r="B2" s="5" t="s">
        <v>28</v>
      </c>
      <c r="C2" s="5" t="s">
        <v>30</v>
      </c>
      <c r="D2" s="5">
        <v>41.0</v>
      </c>
      <c r="E2" s="5" t="s">
        <v>32</v>
      </c>
    </row>
    <row r="3">
      <c r="A3" s="5" t="s">
        <v>33</v>
      </c>
      <c r="B3" s="5" t="s">
        <v>34</v>
      </c>
      <c r="C3" s="5" t="s">
        <v>36</v>
      </c>
      <c r="D3" s="5">
        <v>40.0</v>
      </c>
      <c r="E3" s="5" t="s">
        <v>38</v>
      </c>
    </row>
    <row r="4">
      <c r="A4" s="5" t="s">
        <v>40</v>
      </c>
      <c r="B4" s="5" t="s">
        <v>41</v>
      </c>
      <c r="C4" s="5" t="s">
        <v>42</v>
      </c>
      <c r="D4" s="5">
        <v>27.0</v>
      </c>
      <c r="E4" s="5" t="s">
        <v>43</v>
      </c>
    </row>
    <row r="5">
      <c r="A5" s="5" t="s">
        <v>44</v>
      </c>
      <c r="B5" s="5" t="s">
        <v>45</v>
      </c>
      <c r="C5" s="5" t="s">
        <v>47</v>
      </c>
      <c r="D5" s="5">
        <v>20.0</v>
      </c>
      <c r="E5" s="5" t="s">
        <v>48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