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Labels!$A$1:$G$128</definedName>
  </definedNames>
  <calcPr/>
</workbook>
</file>

<file path=xl/sharedStrings.xml><?xml version="1.0" encoding="utf-8"?>
<sst xmlns="http://schemas.openxmlformats.org/spreadsheetml/2006/main" count="812" uniqueCount="225">
  <si>
    <t>Claim labeling: Sabahat</t>
  </si>
  <si>
    <t>paper_id</t>
  </si>
  <si>
    <t>pmcid</t>
  </si>
  <si>
    <t>What to do</t>
  </si>
  <si>
    <t>1. Read each paper's sentences in order on the Labels tab (they are grouped by paper, in reading order).</t>
  </si>
  <si>
    <t>2. In the yellow 'label' column, pick CLAIM or BACKGROUND from the dropdown. Every sentence needs a label.</t>
  </si>
  <si>
    <t>3. Use 'note' for anything borderline, so we can discuss it. Don't change any other column.</t>
  </si>
  <si>
    <t>4. Label on your own, without comparing with others. Some papers are labeled by two people on purpose.</t>
  </si>
  <si>
    <t>5. Due Sunday (Oct 18). Send the file back as is (don't rename columns or re-sort).</t>
  </si>
  <si>
    <t>sentence_id</t>
  </si>
  <si>
    <t>title</t>
  </si>
  <si>
    <t>Rules (full guide: data/claims/claim_labeling_guide.md in the repo)</t>
  </si>
  <si>
    <t>section</t>
  </si>
  <si>
    <t>sentences</t>
  </si>
  <si>
    <t>CLAIM: the paper's own objective, contribution, finding, or conclusion (including implications of its findings).</t>
  </si>
  <si>
    <t>text</t>
  </si>
  <si>
    <t>BACKGROUND: everything else, including prior work, motivation, gaps, and the study's own setup.</t>
  </si>
  <si>
    <t>link</t>
  </si>
  <si>
    <t>label</t>
  </si>
  <si>
    <t>NEW: descriptions of this study's design, setting, recruitment, or sample are BACKGROUND,</t>
  </si>
  <si>
    <t>note</t>
  </si>
  <si>
    <t>unless the paper presents them as its contribution (e.g. first test in a particular population).</t>
  </si>
  <si>
    <t>PMC9311344</t>
  </si>
  <si>
    <t>Example (how a filled row looks)</t>
  </si>
  <si>
    <t>doi:10.1186/s12954-022-00646-0</t>
  </si>
  <si>
    <t>text: This secondary analysis of a randomized clinical trial included 2255 homeless adults with mental illnesses.</t>
  </si>
  <si>
    <t>label: BACKGROUND    note: (empty, not borderline)</t>
  </si>
  <si>
    <t>Progress</t>
  </si>
  <si>
    <t>Sentences</t>
  </si>
  <si>
    <t>Scoping review of managed alcohol programs</t>
  </si>
  <si>
    <t>s001</t>
  </si>
  <si>
    <t>abstract:background</t>
  </si>
  <si>
    <t>https://doi.org/10.1186/s12954-022-00646-0</t>
  </si>
  <si>
    <t>Internationally, strategies focusing on reducing alcohol-related harms in homeless populations with severe alcohol use disorder (AUD) continue to gain acceptance, especially when conventional modalities focused on alcohol abstinence have been unsuccessful.</t>
  </si>
  <si>
    <t>PMC7576524</t>
  </si>
  <si>
    <t>doi:10.1017/s2045796020000785</t>
  </si>
  <si>
    <t>Effectiveness of a housing support team intervention with a recovery-oriented approach on hospital and emergency department use by homeless people with severe mental illness: a randomised controlled trial</t>
  </si>
  <si>
    <t>https://doi.org/10.1017/s2045796020000785</t>
  </si>
  <si>
    <t>PMC10293912</t>
  </si>
  <si>
    <t>doi:10.1001/jamanetworkopen.2023.20213</t>
  </si>
  <si>
    <t>Domestic Violence Housing First Model and Association With Survivors’ Housing Stability, Safety, and Well-being Over 2 Years</t>
  </si>
  <si>
    <t>https://doi.org/10.1001/jamanetworkopen.2023.20213</t>
  </si>
  <si>
    <t>PMC8382791</t>
  </si>
  <si>
    <t>doi:10.1007/s11524-021-00550-1</t>
  </si>
  <si>
    <t>The Effect of a Housing First Intervention on Acute Health Care Utilization among Homeless Adults with Mental Illness: Long-term Outcomes of the At Home/Chez-Soi Randomized Pragmatic Trial</t>
  </si>
  <si>
    <t>https://doi.org/10.1007/s11524-021-00550-1</t>
  </si>
  <si>
    <t>CLAIM</t>
  </si>
  <si>
    <t>BACKGROUND</t>
  </si>
  <si>
    <t>s002</t>
  </si>
  <si>
    <t>One such strategy is the managed alcohol program (MAP), an alcohol harm reduction program managing consumption by providing eligible individuals with regular doses of alcohol as a part of a structured program, and often providing resources such as housing and other social services.</t>
  </si>
  <si>
    <t>Still blank</t>
  </si>
  <si>
    <t>s003</t>
  </si>
  <si>
    <t>Evidence to the role of MAPs for individuals with AUD, including how MAPs are developed and implemented, is growing.</t>
  </si>
  <si>
    <t>s004</t>
  </si>
  <si>
    <t>Yet there has been limited collective review of literature findings.</t>
  </si>
  <si>
    <t>s005</t>
  </si>
  <si>
    <t>abstract:methods</t>
  </si>
  <si>
    <t>We conducted a scoping review to answer, “What is being evaluated in studies of MAPs?</t>
  </si>
  <si>
    <t>s006</t>
  </si>
  <si>
    <t>What factors are associated with a successful MAP, from the perspective of client outcomes?</t>
  </si>
  <si>
    <t>s007</t>
  </si>
  <si>
    <t>What are the factors perceived as making them a good fit for clients and for communities?”</t>
  </si>
  <si>
    <t>s008</t>
  </si>
  <si>
    <t>We first conducted a systematic search in PubMed, Embase, PsycINFO, CINAHL, Sociological Abstracts, Social Services Abstracts, and Google Scholar.</t>
  </si>
  <si>
    <t>s009</t>
  </si>
  <si>
    <t>Next, we searched the gray literature (through focused Google and Ecosia searches) and references of included articles to identify additional studies.</t>
  </si>
  <si>
    <t>s010</t>
  </si>
  <si>
    <t>We also contacted experts to ensure relevant studies were not missed.</t>
  </si>
  <si>
    <t>s011</t>
  </si>
  <si>
    <t>All articles were independently screened and extracted.</t>
  </si>
  <si>
    <t>s012</t>
  </si>
  <si>
    <t>abstract:results</t>
  </si>
  <si>
    <t>We included 32 studies with four categories of findings related to: (1) client outcomes resulting from MAP participation, (2) client experience within a MAP; (3) feasibility and fit considerations in MAP development within a community; and (4) recommendations for implementation and evaluation.</t>
  </si>
  <si>
    <t>s013</t>
  </si>
  <si>
    <t>There were 38 established MAPs found, of which 9 were featured in the literature.</t>
  </si>
  <si>
    <t>s014</t>
  </si>
  <si>
    <t>The majority were located in Canada; additional research works out of Australia, Poland, the USA, and the UK evaluate potential feasibility and fit of a MAP.</t>
  </si>
  <si>
    <t>s015</t>
  </si>
  <si>
    <t>abstract:conclusions</t>
  </si>
  <si>
    <t>The growing literature showcases several outcomes of interest, with increasing efforts aimed at systematic measures by which to determine the effectiveness and potential risks of MAP.</t>
  </si>
  <si>
    <t>s016</t>
  </si>
  <si>
    <t>Based on a harm reduction approach, MAPs offer a promising, targeted intervention for individuals with severe AUD and experiencing homelessness.</t>
  </si>
  <si>
    <t>s017</t>
  </si>
  <si>
    <t>Research designs that allow for longitudinal follow-up and evaluation of health- and housing-sensitive outcomes are recommended.</t>
  </si>
  <si>
    <t>This is a recommendation, not a finding. Leaning BACKGROUND, since there’s nothing to compare against older work.</t>
  </si>
  <si>
    <t>s018</t>
  </si>
  <si>
    <t>introduction</t>
  </si>
  <si>
    <t>Alcohol-related deaths are on the rise in the USA, with 72,558 deaths reported in 2017, more than double the number from 1999 [1].</t>
  </si>
  <si>
    <t>s019</t>
  </si>
  <si>
    <t>Worldwide, there were nearly 3 million deaths related to the harmful use of alcohol, with increases seen throughout the COVID-19 pandemic [2–5].</t>
  </si>
  <si>
    <t>s020</t>
  </si>
  <si>
    <t>Additionally, over 30% of countries surveyed by the WHO have policies and efforts related to the consumption of “surrogate alcohol” (i.e., non-beverage alcohol (NBA) such as hand sanitizer, rubbing alcohol, and mouthwash) [2].</t>
  </si>
  <si>
    <t>s021</t>
  </si>
  <si>
    <t>Approximately 10.6 million adults in the USA had alcohol use disorder (AUD) in 2017 [6].</t>
  </si>
  <si>
    <t>s022</t>
  </si>
  <si>
    <t>Adults experiencing homelessness are especially at risk, with AUD prevalence estimates exceeding 50%, and alcohol and drug use contributing to one-third of deaths in adults experiencing homelessness in one study [7, 8].</t>
  </si>
  <si>
    <t>s023</t>
  </si>
  <si>
    <t>Communities experiencing both homelessness and severe AUD (a condition defined by the presence of six or more symptoms of AUD as described in the Diagnostic and Statistical Manual V) [9] experience high rates of physical and emotional trauma, severe medical comorbidities and mental illness, and difficult social circumstances that can be barriers to achieving stable housing and long-term alcohol abstinence.</t>
  </si>
  <si>
    <t>s024</t>
  </si>
  <si>
    <t>Internationally, harm reduction strategies have gained traction by focusing on the reduction in alcohol-related harms in populations experiencing co-occurring homelessness and AUD, especially in those where conventional modalities focused on alcohol reduction and abstinence have not been successful.</t>
  </si>
  <si>
    <t>s025</t>
  </si>
  <si>
    <t>One such strategy is the managed alcohol program (MAP), a non-abstinence-based strategy managing the consumption of alcohol by providing eligible individuals with regular doses of alcohol as a part of a structured program, and often providing resources such as housing, access to medical care, regular meals, and other social services [10].</t>
  </si>
  <si>
    <t>s026</t>
  </si>
  <si>
    <t>MAPs are founded on the principles of alcohol harm reduction.</t>
  </si>
  <si>
    <t>s027</t>
  </si>
  <si>
    <t>Compared to efforts aimed at reducing the harmful effects of drug use (e.g., syringe exchange, naloxone distribution) or HIV transmission (e.g., preventative HIV medication such as pre-exposure prophylaxis (PrEP)), alcohol harm reduction is less well known.</t>
  </si>
  <si>
    <t>s028</t>
  </si>
  <si>
    <t>Alcohol harm reduction has largely been approached at the population level [11, 12], balancing the challenge of modifying the consumption of a substance both legal and deeply ingrained in societal culture [2, 13–15].</t>
  </si>
  <si>
    <t>s029</t>
  </si>
  <si>
    <t>And compared to abstinence-based efforts, alcohol harm reduction often includes policy efforts regarding access to and availability of alcohol at the population level and efforts to moderate consumption [11, 16–19].</t>
  </si>
  <si>
    <t>s030</t>
  </si>
  <si>
    <t>At the same time, a subgroup of individuals with severe AUD likewise face structural oppression including economic disparities, poverty, homelessness, racism, and related stigmas [20–24].</t>
  </si>
  <si>
    <t>s031</t>
  </si>
  <si>
    <t>The needs of this subgroup are typically not addressed, and may be negatively exacerbated, by reliance on population-level interventions to reduce moderate alcohol consumption [11].</t>
  </si>
  <si>
    <t>s032</t>
  </si>
  <si>
    <t>MAPs operate at this intersection, addressing the co-occurring harms related to severe AUD and the vulnerability related to structural inequities and oppression.</t>
  </si>
  <si>
    <t>s033</t>
  </si>
  <si>
    <t>At the time of this review, there were 38 established MAPs including programs located in both large and small project-based permanent housing, shelters, non-residential day programs, mobile services to scattered sites, COVID-19-related programs, and inpatient services [10, 25–28].</t>
  </si>
  <si>
    <t>repeats the review’s own result</t>
  </si>
  <si>
    <t>s034</t>
  </si>
  <si>
    <t>MAPs have existed since the late 1990s predominantly in Canada [10].</t>
  </si>
  <si>
    <t>s035</t>
  </si>
  <si>
    <t>A primary goal of MAPs is to reduce the harmful effects related to alcohol consumption, paying particular attention to not increase or introduce additional harms.</t>
  </si>
  <si>
    <t>s036</t>
  </si>
  <si>
    <t>To reduce the harm from consumption of non-beverage products containing alcohol, MAPs provide safer sources of beverage alcohol to participants [10, 29, 30].</t>
  </si>
  <si>
    <t>s037</t>
  </si>
  <si>
    <t>MAPs typically screen, provide care, and monitor physical and mental health conditions in collaboration with clients, increasing engagement and working to stabilize co-occurring conditions and reduce alcohol-related harms [10, 31].</t>
  </si>
  <si>
    <t>s038</t>
  </si>
  <si>
    <t>To date, there has been no comprehensive review of MAP studies that evaluate the state of the research and collective findings internationally.</t>
  </si>
  <si>
    <t>s039</t>
  </si>
  <si>
    <t>To address this gap, we aimed to conduct a scoping review of both peer-reviewed and gray literature to answer the questions: What is being evaluated in studies of MAPs?</t>
  </si>
  <si>
    <t>s040</t>
  </si>
  <si>
    <t>What factors are associated with a successful managed alcohol program, from the perspective of client outcomes?</t>
  </si>
  <si>
    <t>s041</t>
  </si>
  <si>
    <t>And what are the factors related to MAPs that are perceived as making them a good fit for clients and for communities?</t>
  </si>
  <si>
    <t>s042</t>
  </si>
  <si>
    <t>We seek to inform researchers and public health officials on strategies and appropriateness for MAP development within health systems and communities.</t>
  </si>
  <si>
    <t>s043</t>
  </si>
  <si>
    <t>Our objectives were to identify the intended and measured impacts of a MAP including on client health outcomes, alcohol consumption, and housing stabilization, understand MAP feasibility and implementation, characterize the key components of MAPs, identify gaps in knowledge and the literature, and recommend possible areas for future study.</t>
  </si>
  <si>
    <t>abstract:objective</t>
  </si>
  <si>
    <t>Many people who are homeless with severe mental illnesses are high users of healthcare services and social services, without reducing widen health inequalities in this vulnerable population.</t>
  </si>
  <si>
    <t>This study aimed to determine whether independent housing with mental health support teams with a recovery-oriented approach (Housing First (HF) program) for people who are homeless with severe mental disorders improves hospital and emergency department use.</t>
  </si>
  <si>
    <t>We did a randomised controlled trial in four French cities: Lille, Marseille, Paris and Toulouse.</t>
  </si>
  <si>
    <t>Participants were eligible if they were 18 years or older, being absolutely homeless or precariously housed, with a diagnosis of schizophrenia (SCZ) or bipolar disorder (BD) and were required to have a high level of needs (moderate-to-severe disability and past hospitalisations over the last 5 years or comorbid alcohol or substance use disorder).</t>
  </si>
  <si>
    <t>Participants were randomly assigned (1:1) to immediate access to independent housing and support from the Assertive Community Treatment team (social worker, nurse, doctor, psychiatrist and peer worker) (HF group) or treatment as usual (TAU group) namely pre-existing dedicated homeless-targeted programs and services.</t>
  </si>
  <si>
    <t>Participants and interviewers were unmasked to assignment.</t>
  </si>
  <si>
    <t>The primary outcomes were the number of emergency department (ED) visits, hospitalisation admissions and inpatient days at 24 months.</t>
  </si>
  <si>
    <t>Secondary outcomes were recovery (Recovery Assessment Scale), quality of life (SQOL and SF36), mental health symptoms, addiction issues, stably housed days and cost savings from a societal perspective.</t>
  </si>
  <si>
    <t>Intention-to-treat analysis was performed.</t>
  </si>
  <si>
    <t>Eligible patients were randomly assigned to the HF group (n = 353) or TAU group (n = 350).</t>
  </si>
  <si>
    <t>No differences were found in the number of hospital admissions (relative risk (95% CI), 0.96 (0.76–1.21)) or ED visits (0.89 (0.66–1.21)).</t>
  </si>
  <si>
    <t>Significantly less inpatient days were found for HF v. TAU (0.62 (0.48–0.80)).</t>
  </si>
  <si>
    <t>The HF group exhibited higher housing stability (difference in slope, 116 (103–128)) and higher scores for sub-dimensions of S-QOL scale (psychological well-being and autonomy).</t>
  </si>
  <si>
    <t>No differences were found for physical composite score SF36, mental health symptoms and rates of alcohol or substance dependence.</t>
  </si>
  <si>
    <t>Mean difference in costs was €-217 per patient over 24 months in favour of the HF group.</t>
  </si>
  <si>
    <t>HF was associated with cost savings in healthcare costs (RR 0.62(0.48–0.78)) and residential costs (0.07 (0.05–0.11)).</t>
  </si>
  <si>
    <t>An immediate access to independent housing and support from a mental health team resulted in decreased inpatient days, higher housing stability and cost savings in homeless persons with SCZ or BP disorders.</t>
  </si>
  <si>
    <t>Homelessness has been recognised as a persistent public health concern since the late 1980s, with extreme health inequalities, and increased morbidity and mortality compared to housed populations (Rossi et al., 1987; Hwang et al., 2009; Aldridge et al., 2017).</t>
  </si>
  <si>
    <t>Over the past decade, the number of homeless people has increased at an alarming rate in almost all European countries (FEANTSA [2018]).</t>
  </si>
  <si>
    <t>In France, 3.5 million people are considered precariously housed and 141 500 homeless, a number which has increased by 44% over the past decade (Mordier, 2016).</t>
  </si>
  <si>
    <t>Estimates hold that 31% of persons who are homeless have at least one severe mental illness (SMI) or/and addiction (high-need subpopulation) and that psychotic disorders are 8–10 times higher in that population than in the general population (Fazel et al., 2014; Laporte et al., 2018).</t>
  </si>
  <si>
    <t>Studies from several settings have shown that people who are homeless use more psychiatric services (mainly emergency units) and less outpatient mental health services, with higher discontinuation rates (McNiel and Binder, 2005; Doran et al., 2013; Russolillo et al., 2016; Stenius-Ayoade et al., 2017).</t>
  </si>
  <si>
    <t>Historically, dedicated homeless-specific services are based on a step-by-step approach, i.e. requiring substance abstinence, rule compliance and absence of behavioural disorder to move from emergency shelter to transitional accommodation, and then on to supportive housing (MNASM , 2007; Velpry, 2009).</t>
  </si>
  <si>
    <t>Because the focus of the facility-based programs is on treatment, not on long-term housing, these models are called ‘treatment first’ (Carling, 1993).</t>
  </si>
  <si>
    <t>Among other drawbacks, this approach has been shown to fail people with SMI, who often have difficulty moving on from supported accommodation; recovery-oriented practices may help people in this category (Killaspy et al., 2019).</t>
  </si>
  <si>
    <t>An integrated medical and social program called Housing First (HF) for homeless people with chronic conditions has been trialled in North America and Europe.</t>
  </si>
  <si>
    <t>In contrast to the ‘treatment first’ approach, HF combines rapid access to permanent, non-abstinence-contingent ordinary housing and recovery-oriented mental health support teams (Hwang and Burns, 2014).</t>
  </si>
  <si>
    <t>HF has been evaluated in the USA and Canada in good quality randomised controlled trials (RCTs), showing interesting improvements in housing stability, but mixed results in healthcare use and limited effectiveness on recovery and quality-of-life outcomes (Rosenheck et al., 2003; Sadowski et al., 2009; Stergiopoulos et al., 2015; Woodhall-Melnik and Dunn, 2015; Aubry et al., 2016).</t>
  </si>
  <si>
    <t>To date, the transposability and enforceability of the results from USA and Canadian studies have never been demonstrated in Europe, including France.</t>
  </si>
  <si>
    <t>It is particularly essential given the importance of differing social and health-care models for programs like HF.</t>
  </si>
  <si>
    <t>Also, a recent review of HF model studies noted the lack of robust European data on its effectiveness (Baxter et al., 2019).</t>
  </si>
  <si>
    <t>The current study, named Un Chez Soi d'Abord, addresses this evidence gap, investigating the effects of the Housing First model in the French context, with France providing a quasi-universal health coverage with free mental health services, in parallel to a range of social aid and housing services.</t>
  </si>
  <si>
    <t>The study aimed to determine whether the Housing First program for people who are homeless with SMI improves hospital and emergency department use and is a cost-effective program.</t>
  </si>
  <si>
    <t>In the present study we also evaluate the effectiveness of the French HF program on housing stability, recovery and quality of life.</t>
  </si>
  <si>
    <t>Intimate partner violence (IPV) is a leading cause of homelessness and a serious threat to public health and well-being.</t>
  </si>
  <si>
    <t>To determine whether the Domestic Violence Housing First (DVHF) model improves safety, housing stability, and mental health over 2 years.</t>
  </si>
  <si>
    <t>This longitudinal comparative effectiveness study interviewed IPV survivors and reviewed their agency records.</t>
  </si>
  <si>
    <t>All unstably housed or homeless IPV survivors entering domestic violence (DV) services were eligible to participate in the study, ensuring capture of typical variability in service delivery (eg, some survivors would enter services when agencies had the capacity to provide DVHF and others would receive services as usual [SAU]).</t>
  </si>
  <si>
    <t>Clients from 5 DV agencies (3 rural and 2 urban) referred by agency staff in a Pacific Northwest state of the United States were assessed between July 17, 2017, and July 16, 2021.</t>
  </si>
  <si>
    <t>Interviews were conducted in English or Spanish at entry into services (baseline) and at 6-, 12-, 18-, and 24-month follow-up visits.</t>
  </si>
  <si>
    <t>The DVHF model was compared with SAU.</t>
  </si>
  <si>
    <t>The baseline sample included 406 survivors (92.7% of 438 eligible).</t>
  </si>
  <si>
    <t>Of the 375 participants retained at the 6-month follow-up (92.4% retention), 344 had received services and had complete data across all outcomes.</t>
  </si>
  <si>
    <t>Three hundred sixty-three participants (89.4%) were retained at the 24-month follow-up.</t>
  </si>
  <si>
    <t>The DVHF model has 2 components: housing-inclusive advocacy and flexible funding.</t>
  </si>
  <si>
    <t>Main outcomes included housing stability, safety, and mental health, which were assessed using standardized measures.</t>
  </si>
  <si>
    <t>Of the 344 participants (mean [SD] age, 34.6 [9.0] years) included in the analyses, 219 (63.7%) received DVHF and 125 (36.3%) received SAU.</t>
  </si>
  <si>
    <t>Most participants identified as female (334 [97.1%]) and heterosexual (299 [86.9%]).</t>
  </si>
  <si>
    <t>Two hundred twenty-one participants (64.2%) were from a racial and ethnic minority group.</t>
  </si>
  <si>
    <t>Longitudinal linear mixed-effects models showed that receiving SAU was associated with greater housing instability (mean difference, 0.78 [95% CI, 0.42-1.14]), DV exposure (mean difference, 0.15 [95% CI, 0.05-0.26]), depression (mean difference, 1.35 [95% CI, 0.27-2.43]), anxiety (mean difference, 1.15 [95% CI, 0.11-2.19]), and posttraumatic stress disorder (mean difference, 0.54 [95% CI, 0.04-1.04]) compared with receiving the DVHF model.</t>
  </si>
  <si>
    <t>Evidence in this comparative effectiveness study suggests that the DVHF model was more effective than SAU in improving the housing stability, safety, and mental health of survivors of IPV.</t>
  </si>
  <si>
    <t>The DVHF’s amelioration of all of these interconnected public health issues—relatively quickly and with long-term continuance—will be of substantial interest to DV agencies and others working to support unstably housed IPV survivors.</t>
  </si>
  <si>
    <t>Intimate partner violence (IPV) is a significant public health concern worldwide,[1] disproportionately affecting women.[2]</t>
  </si>
  <si>
    <t>Intimate partner violence includes violence, abuse, and controlling behavior committed by a partner or former partner[3] and can result in long-lasting adverse mental health outcomes, including depression,[4] posttraumatic stress disorder (PTSD),[5] and anxiety.[6]</t>
  </si>
  <si>
    <t>Intimate partner violence is also a leading cause of homelessness and housing instability.[7],[8],[9]</t>
  </si>
  <si>
    <t>Given the link between IPV and housing instability, as well as the lack of affordable housing in the US,[10] domestic violence (DV) agencies are increasingly focusing on helping IPV survivors achieve stable housing along with long-term safety and well-being.[11],[12]</t>
  </si>
  <si>
    <t>One intervention that is increasingly being implemented by DV agencies is the Domestic Violence Housing First (DVHF) model.</t>
  </si>
  <si>
    <t>Adapted from the Housing First model, which was originally developed for chronically homeless, single adults struggling with mental health disorders and addictions,[13] the DVHF model includes 2 components: survivor-driven housing-inclusive advocacy and flexible funding.[11]</t>
  </si>
  <si>
    <t>The former component involves advocates working proactively and creatively with survivors to help them obtain safe and stable housing, at their own pace, for as long as the survivor needs support.</t>
  </si>
  <si>
    <t>Flexible funding involves assisting survivors with individual needs that are preventing them from achieving safe and stable housing.</t>
  </si>
  <si>
    <t>Funding is used to help cover a myriad of expenses, including but not limited to rent, car repair, employment-related expenses, moving expenses, and safety measures.</t>
  </si>
  <si>
    <t>The model was created based on evidence from 2 earlier studies: one demonstrating the effectiveness of survivor-driven advocacy on IPV survivors’ safety and mental health,[14] and one showing that flexible funding can reduce IPV survivors’ housing instability.[15]</t>
  </si>
  <si>
    <t>Given that the DVHF model continues to proliferate, empirical evidence is needed to understand the extent of its effectiveness.</t>
  </si>
  <si>
    <t>This study tested the hypothesis that IPV survivors who received the DVHF model would demonstrate greater improvements in housing stability, safety, and mental health compared with survivors who received services as usual (SAU) across 2 years.</t>
  </si>
  <si>
    <t>abstract</t>
  </si>
  <si>
    <t>We assessed the effects of the Toronto Site Housing First (HF) intervention on hospitalizations and emergency department (ED) visits among homeless adults with mental illness over 7 years of follow-up.</t>
  </si>
  <si>
    <t>The Toronto Site is part of an unblinded multi-site randomized pragmatic trial of HF for homeless adults with mental illness in Canada, which followed participants up to 7 years.</t>
  </si>
  <si>
    <t>Five hundred seventy-five participants were recruited and classified as having high (HN) or moderate need (MN) for mental health support services.</t>
  </si>
  <si>
    <t>Each group was randomized into intervention (HF) and treatment as usual groups, and 567 (98.6%) consented to link their data to health administrative databases.</t>
  </si>
  <si>
    <t>HF participants received a monthly rent supplement of $600 (Canadian) and assertive community treatment (ACT) support or intensive care management (ICM) support based on need level.</t>
  </si>
  <si>
    <t>Treatment as usual (TAU) participants had access to social, housing, and health services generally available in the community.</t>
  </si>
  <si>
    <t>Outcomes included all-cause and mental health-specific hospitalization, number of days in hospital, and ED visit.</t>
  </si>
  <si>
    <t>We used GEE models to estimate ratio of rate ratios (RRR).</t>
  </si>
  <si>
    <t>The results showed HF with ACT had no significant effect on hospitalization rates among HN participants, but reduced the number of days in hospital (RRR = 0.32, 95% CI 0.16-0.63) and number of ED visits (RRR = 0.57, 95% CI 0.34-0.95).</t>
  </si>
  <si>
    <t>HF with ICM resulted in an increase in the number of hospitalizations (RRR = 1.69, 95% CI 1.09-2.60) and ED visit rates (RRR = 1.42, 95% CI 1.01-2.01) but had no effect in days in hospital for MN participants.</t>
  </si>
  <si>
    <t>Addressing the health needs of this population and reducing acute care utilization remain system priorities.</t>
  </si>
  <si>
    <t>People experiencing homelessness are affected by chronic and acute medical conditions [1–8], neurocognitive impairment, and substance use disorders at higher rates than the general population [1, 9–11].</t>
  </si>
  <si>
    <t>The unstable living conditions associated with homelessness not only increase heath need complexity but in addition interfere with accessing primary health care and effective disease management.</t>
  </si>
  <si>
    <t>It is therefore not surprising that, individuals experiencing homelessness are higher users of emergency departments (ED) [12] and are more frequently admitted to hospital compared to the general population [2, 12–14].</t>
  </si>
  <si>
    <t>The provision of stable housing with supportive services has been identified as a promising intervention to decrease ED visits and hospital admissions for this population [15].</t>
  </si>
  <si>
    <t>However, controlled studies of housing interventions have shown mixed effects on health care utilization [16–19].</t>
  </si>
  <si>
    <t>These studies have generally used self-reported data on health care use, analyzed only a few specific health care services, or have had a relatively short period of follow-up.</t>
  </si>
  <si>
    <t>These limitations have resulted in uncertainty regarding the long-term impacts of supportive housing programs on health care utilization.</t>
  </si>
  <si>
    <t>The purpose of this analysis of the Toronto Site At Home/Chez-Soi randomized pragmatic study is to investigate the effects of a Housing First (HF) intervention, including immediate access to housing and mental health support services, on several acute health care utilization outcomes, including all-cause hospitalization, mental health-related hospitalizations, and ED visits, among adults experiencing homelessness and mental illness over a 7-year follow-up period.</t>
  </si>
  <si>
    <t>This analysis leverages comprehensive provincial administrative databases and the longest HF trial to date to ascertain the health utilization outcomes of study participants over an extended follow-up period in a large urban setting with universal health insurance.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</si>
</sst>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1" numFmtId="0" xfId="0" applyAlignment="1" applyBorder="1" applyFill="1" applyFont="1">
      <alignment shrinkToFit="0" vertical="top" wrapText="1"/>
    </xf>
    <xf borderId="0" fillId="0" fontId="2" numFmtId="0" xfId="0" applyAlignment="1" applyFont="1">
      <alignment readingOrder="0" shrinkToFit="0" vertical="bottom" wrapText="0"/>
    </xf>
    <xf borderId="0" fillId="0" fontId="2" numFmtId="0" xfId="0" applyAlignment="1" applyFont="1">
      <alignment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2"/>
    </row>
    <row r="3">
      <c r="A3" s="1" t="s">
        <v>3</v>
      </c>
    </row>
    <row r="4">
      <c r="A4" s="2" t="s">
        <v>4</v>
      </c>
    </row>
    <row r="5">
      <c r="A5" s="2" t="s">
        <v>5</v>
      </c>
    </row>
    <row r="6">
      <c r="A6" s="2" t="s">
        <v>6</v>
      </c>
    </row>
    <row r="7">
      <c r="A7" s="2" t="s">
        <v>7</v>
      </c>
    </row>
    <row r="8">
      <c r="A8" s="4" t="s">
        <v>8</v>
      </c>
    </row>
    <row r="9">
      <c r="A9" s="2"/>
    </row>
    <row r="10">
      <c r="A10" s="1" t="s">
        <v>11</v>
      </c>
    </row>
    <row r="11">
      <c r="A11" s="2" t="s">
        <v>14</v>
      </c>
    </row>
    <row r="12">
      <c r="A12" s="2" t="s">
        <v>16</v>
      </c>
    </row>
    <row r="13">
      <c r="A13" s="2" t="s">
        <v>19</v>
      </c>
    </row>
    <row r="14">
      <c r="A14" s="2" t="s">
        <v>21</v>
      </c>
    </row>
    <row r="15">
      <c r="A15" s="2"/>
    </row>
    <row r="16">
      <c r="A16" s="1" t="s">
        <v>23</v>
      </c>
    </row>
    <row r="17">
      <c r="A17" s="2" t="s">
        <v>25</v>
      </c>
    </row>
    <row r="18">
      <c r="A18" s="2" t="s">
        <v>26</v>
      </c>
    </row>
    <row r="19">
      <c r="A19" s="2"/>
    </row>
    <row r="20">
      <c r="A20" s="1" t="s">
        <v>27</v>
      </c>
    </row>
    <row r="21" ht="15.75" customHeight="1">
      <c r="A21" s="2" t="s">
        <v>28</v>
      </c>
      <c r="B21" s="2">
        <f>ROWS(Labels!F2:F128)</f>
        <v>127</v>
      </c>
    </row>
    <row r="22" ht="15.75" customHeight="1">
      <c r="A22" s="2" t="s">
        <v>46</v>
      </c>
      <c r="B22" s="2">
        <f>COUNTIF(Labels!F2:F128,"CLAIM")</f>
        <v>32</v>
      </c>
    </row>
    <row r="23" ht="15.75" customHeight="1">
      <c r="A23" s="2" t="s">
        <v>47</v>
      </c>
      <c r="B23" s="2">
        <f>COUNTIF(Labels!F2:F128,"BACKGROUND")</f>
        <v>95</v>
      </c>
    </row>
    <row r="24" ht="15.75" customHeight="1">
      <c r="A24" s="2" t="s">
        <v>50</v>
      </c>
      <c r="B24" s="2">
        <f>COUNTBLANK(Labels!F2:F128)</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3.0"/>
    <col customWidth="1" min="3" max="3" width="11.0"/>
    <col customWidth="1" min="4" max="4" width="20.0"/>
    <col customWidth="1" min="5" max="5" width="90.0"/>
    <col customWidth="1" min="6" max="6" width="17.57"/>
    <col customWidth="1" min="7" max="7" width="40.0"/>
    <col customWidth="1" min="8" max="26" width="8.71"/>
  </cols>
  <sheetData>
    <row r="1">
      <c r="A1" s="3" t="s">
        <v>1</v>
      </c>
      <c r="B1" s="3" t="s">
        <v>2</v>
      </c>
      <c r="C1" s="3" t="s">
        <v>9</v>
      </c>
      <c r="D1" s="3" t="s">
        <v>12</v>
      </c>
      <c r="E1" s="3" t="s">
        <v>15</v>
      </c>
      <c r="F1" s="3" t="s">
        <v>18</v>
      </c>
      <c r="G1" s="3" t="s">
        <v>20</v>
      </c>
    </row>
    <row r="2">
      <c r="A2" s="5" t="s">
        <v>24</v>
      </c>
      <c r="B2" s="5" t="s">
        <v>22</v>
      </c>
      <c r="C2" s="5" t="s">
        <v>30</v>
      </c>
      <c r="D2" s="5" t="s">
        <v>31</v>
      </c>
      <c r="E2" s="5" t="s">
        <v>33</v>
      </c>
      <c r="F2" s="6" t="s">
        <v>47</v>
      </c>
      <c r="G2" s="7"/>
    </row>
    <row r="3">
      <c r="A3" s="5" t="s">
        <v>24</v>
      </c>
      <c r="B3" s="5" t="s">
        <v>22</v>
      </c>
      <c r="C3" s="5" t="s">
        <v>48</v>
      </c>
      <c r="D3" s="5" t="s">
        <v>31</v>
      </c>
      <c r="E3" s="5" t="s">
        <v>49</v>
      </c>
      <c r="F3" s="6" t="s">
        <v>47</v>
      </c>
      <c r="G3" s="7"/>
    </row>
    <row r="4">
      <c r="A4" s="5" t="s">
        <v>24</v>
      </c>
      <c r="B4" s="5" t="s">
        <v>22</v>
      </c>
      <c r="C4" s="5" t="s">
        <v>51</v>
      </c>
      <c r="D4" s="5" t="s">
        <v>31</v>
      </c>
      <c r="E4" s="5" t="s">
        <v>52</v>
      </c>
      <c r="F4" s="6" t="s">
        <v>47</v>
      </c>
      <c r="G4" s="7"/>
    </row>
    <row r="5">
      <c r="A5" s="5" t="s">
        <v>24</v>
      </c>
      <c r="B5" s="5" t="s">
        <v>22</v>
      </c>
      <c r="C5" s="5" t="s">
        <v>53</v>
      </c>
      <c r="D5" s="5" t="s">
        <v>31</v>
      </c>
      <c r="E5" s="5" t="s">
        <v>54</v>
      </c>
      <c r="F5" s="6" t="s">
        <v>47</v>
      </c>
      <c r="G5" s="7"/>
    </row>
    <row r="6">
      <c r="A6" s="5" t="s">
        <v>24</v>
      </c>
      <c r="B6" s="5" t="s">
        <v>22</v>
      </c>
      <c r="C6" s="5" t="s">
        <v>55</v>
      </c>
      <c r="D6" s="5" t="s">
        <v>56</v>
      </c>
      <c r="E6" s="5" t="s">
        <v>57</v>
      </c>
      <c r="F6" s="6" t="s">
        <v>46</v>
      </c>
      <c r="G6" s="7"/>
    </row>
    <row r="7">
      <c r="A7" s="5" t="s">
        <v>24</v>
      </c>
      <c r="B7" s="5" t="s">
        <v>22</v>
      </c>
      <c r="C7" s="5" t="s">
        <v>58</v>
      </c>
      <c r="D7" s="5" t="s">
        <v>56</v>
      </c>
      <c r="E7" s="5" t="s">
        <v>59</v>
      </c>
      <c r="F7" s="6" t="s">
        <v>46</v>
      </c>
      <c r="G7" s="7"/>
    </row>
    <row r="8">
      <c r="A8" s="5" t="s">
        <v>24</v>
      </c>
      <c r="B8" s="5" t="s">
        <v>22</v>
      </c>
      <c r="C8" s="5" t="s">
        <v>60</v>
      </c>
      <c r="D8" s="5" t="s">
        <v>56</v>
      </c>
      <c r="E8" s="5" t="s">
        <v>61</v>
      </c>
      <c r="F8" s="6" t="s">
        <v>46</v>
      </c>
      <c r="G8" s="7"/>
    </row>
    <row r="9">
      <c r="A9" s="5" t="s">
        <v>24</v>
      </c>
      <c r="B9" s="5" t="s">
        <v>22</v>
      </c>
      <c r="C9" s="5" t="s">
        <v>62</v>
      </c>
      <c r="D9" s="5" t="s">
        <v>56</v>
      </c>
      <c r="E9" s="5" t="s">
        <v>63</v>
      </c>
      <c r="F9" s="6" t="s">
        <v>47</v>
      </c>
      <c r="G9" s="7"/>
    </row>
    <row r="10">
      <c r="A10" s="5" t="s">
        <v>24</v>
      </c>
      <c r="B10" s="5" t="s">
        <v>22</v>
      </c>
      <c r="C10" s="5" t="s">
        <v>64</v>
      </c>
      <c r="D10" s="5" t="s">
        <v>56</v>
      </c>
      <c r="E10" s="5" t="s">
        <v>65</v>
      </c>
      <c r="F10" s="6" t="s">
        <v>47</v>
      </c>
      <c r="G10" s="7"/>
    </row>
    <row r="11">
      <c r="A11" s="5" t="s">
        <v>24</v>
      </c>
      <c r="B11" s="5" t="s">
        <v>22</v>
      </c>
      <c r="C11" s="5" t="s">
        <v>66</v>
      </c>
      <c r="D11" s="5" t="s">
        <v>56</v>
      </c>
      <c r="E11" s="5" t="s">
        <v>67</v>
      </c>
      <c r="F11" s="6" t="s">
        <v>47</v>
      </c>
      <c r="G11" s="7"/>
    </row>
    <row r="12">
      <c r="A12" s="5" t="s">
        <v>24</v>
      </c>
      <c r="B12" s="5" t="s">
        <v>22</v>
      </c>
      <c r="C12" s="5" t="s">
        <v>68</v>
      </c>
      <c r="D12" s="5" t="s">
        <v>56</v>
      </c>
      <c r="E12" s="5" t="s">
        <v>69</v>
      </c>
      <c r="F12" s="6" t="s">
        <v>47</v>
      </c>
      <c r="G12" s="7"/>
    </row>
    <row r="13">
      <c r="A13" s="5" t="s">
        <v>24</v>
      </c>
      <c r="B13" s="5" t="s">
        <v>22</v>
      </c>
      <c r="C13" s="5" t="s">
        <v>70</v>
      </c>
      <c r="D13" s="5" t="s">
        <v>71</v>
      </c>
      <c r="E13" s="5" t="s">
        <v>72</v>
      </c>
      <c r="F13" s="6" t="s">
        <v>46</v>
      </c>
      <c r="G13" s="7"/>
    </row>
    <row r="14">
      <c r="A14" s="5" t="s">
        <v>24</v>
      </c>
      <c r="B14" s="5" t="s">
        <v>22</v>
      </c>
      <c r="C14" s="5" t="s">
        <v>73</v>
      </c>
      <c r="D14" s="5" t="s">
        <v>71</v>
      </c>
      <c r="E14" s="5" t="s">
        <v>74</v>
      </c>
      <c r="F14" s="6" t="s">
        <v>46</v>
      </c>
      <c r="G14" s="7"/>
    </row>
    <row r="15">
      <c r="A15" s="5" t="s">
        <v>24</v>
      </c>
      <c r="B15" s="5" t="s">
        <v>22</v>
      </c>
      <c r="C15" s="5" t="s">
        <v>75</v>
      </c>
      <c r="D15" s="5" t="s">
        <v>71</v>
      </c>
      <c r="E15" s="5" t="s">
        <v>76</v>
      </c>
      <c r="F15" s="6" t="s">
        <v>46</v>
      </c>
      <c r="G15" s="7"/>
    </row>
    <row r="16">
      <c r="A16" s="5" t="s">
        <v>24</v>
      </c>
      <c r="B16" s="5" t="s">
        <v>22</v>
      </c>
      <c r="C16" s="5" t="s">
        <v>77</v>
      </c>
      <c r="D16" s="5" t="s">
        <v>78</v>
      </c>
      <c r="E16" s="5" t="s">
        <v>79</v>
      </c>
      <c r="F16" s="6" t="s">
        <v>46</v>
      </c>
      <c r="G16" s="7"/>
    </row>
    <row r="17">
      <c r="A17" s="5" t="s">
        <v>24</v>
      </c>
      <c r="B17" s="5" t="s">
        <v>22</v>
      </c>
      <c r="C17" s="5" t="s">
        <v>80</v>
      </c>
      <c r="D17" s="5" t="s">
        <v>78</v>
      </c>
      <c r="E17" s="5" t="s">
        <v>81</v>
      </c>
      <c r="F17" s="6" t="s">
        <v>46</v>
      </c>
      <c r="G17" s="7"/>
    </row>
    <row r="18">
      <c r="A18" s="5" t="s">
        <v>24</v>
      </c>
      <c r="B18" s="5" t="s">
        <v>22</v>
      </c>
      <c r="C18" s="5" t="s">
        <v>82</v>
      </c>
      <c r="D18" s="5" t="s">
        <v>78</v>
      </c>
      <c r="E18" s="5" t="s">
        <v>83</v>
      </c>
      <c r="F18" s="6" t="s">
        <v>46</v>
      </c>
      <c r="G18" s="6" t="s">
        <v>84</v>
      </c>
    </row>
    <row r="19">
      <c r="A19" s="5" t="s">
        <v>24</v>
      </c>
      <c r="B19" s="5" t="s">
        <v>22</v>
      </c>
      <c r="C19" s="5" t="s">
        <v>85</v>
      </c>
      <c r="D19" s="5" t="s">
        <v>86</v>
      </c>
      <c r="E19" s="5" t="s">
        <v>87</v>
      </c>
      <c r="F19" s="6" t="s">
        <v>47</v>
      </c>
      <c r="G19" s="7"/>
    </row>
    <row r="20">
      <c r="A20" s="5" t="s">
        <v>24</v>
      </c>
      <c r="B20" s="5" t="s">
        <v>22</v>
      </c>
      <c r="C20" s="5" t="s">
        <v>88</v>
      </c>
      <c r="D20" s="5" t="s">
        <v>86</v>
      </c>
      <c r="E20" s="5" t="s">
        <v>89</v>
      </c>
      <c r="F20" s="6" t="s">
        <v>47</v>
      </c>
      <c r="G20" s="7"/>
    </row>
    <row r="21" ht="15.75" customHeight="1">
      <c r="A21" s="5" t="s">
        <v>24</v>
      </c>
      <c r="B21" s="5" t="s">
        <v>22</v>
      </c>
      <c r="C21" s="5" t="s">
        <v>90</v>
      </c>
      <c r="D21" s="5" t="s">
        <v>86</v>
      </c>
      <c r="E21" s="5" t="s">
        <v>91</v>
      </c>
      <c r="F21" s="6" t="s">
        <v>47</v>
      </c>
      <c r="G21" s="7"/>
    </row>
    <row r="22" ht="15.75" customHeight="1">
      <c r="A22" s="5" t="s">
        <v>24</v>
      </c>
      <c r="B22" s="5" t="s">
        <v>22</v>
      </c>
      <c r="C22" s="5" t="s">
        <v>92</v>
      </c>
      <c r="D22" s="5" t="s">
        <v>86</v>
      </c>
      <c r="E22" s="5" t="s">
        <v>93</v>
      </c>
      <c r="F22" s="6" t="s">
        <v>47</v>
      </c>
      <c r="G22" s="7"/>
    </row>
    <row r="23" ht="15.75" customHeight="1">
      <c r="A23" s="5" t="s">
        <v>24</v>
      </c>
      <c r="B23" s="5" t="s">
        <v>22</v>
      </c>
      <c r="C23" s="5" t="s">
        <v>94</v>
      </c>
      <c r="D23" s="5" t="s">
        <v>86</v>
      </c>
      <c r="E23" s="5" t="s">
        <v>95</v>
      </c>
      <c r="F23" s="6" t="s">
        <v>47</v>
      </c>
      <c r="G23" s="7"/>
    </row>
    <row r="24" ht="15.75" customHeight="1">
      <c r="A24" s="5" t="s">
        <v>24</v>
      </c>
      <c r="B24" s="5" t="s">
        <v>22</v>
      </c>
      <c r="C24" s="5" t="s">
        <v>96</v>
      </c>
      <c r="D24" s="5" t="s">
        <v>86</v>
      </c>
      <c r="E24" s="5" t="s">
        <v>97</v>
      </c>
      <c r="F24" s="6" t="s">
        <v>47</v>
      </c>
      <c r="G24" s="7"/>
    </row>
    <row r="25" ht="15.75" customHeight="1">
      <c r="A25" s="5" t="s">
        <v>24</v>
      </c>
      <c r="B25" s="5" t="s">
        <v>22</v>
      </c>
      <c r="C25" s="5" t="s">
        <v>98</v>
      </c>
      <c r="D25" s="5" t="s">
        <v>86</v>
      </c>
      <c r="E25" s="5" t="s">
        <v>99</v>
      </c>
      <c r="F25" s="6" t="s">
        <v>47</v>
      </c>
      <c r="G25" s="7"/>
    </row>
    <row r="26" ht="15.75" customHeight="1">
      <c r="A26" s="5" t="s">
        <v>24</v>
      </c>
      <c r="B26" s="5" t="s">
        <v>22</v>
      </c>
      <c r="C26" s="5" t="s">
        <v>100</v>
      </c>
      <c r="D26" s="5" t="s">
        <v>86</v>
      </c>
      <c r="E26" s="5" t="s">
        <v>101</v>
      </c>
      <c r="F26" s="6" t="s">
        <v>47</v>
      </c>
      <c r="G26" s="7"/>
    </row>
    <row r="27" ht="15.75" customHeight="1">
      <c r="A27" s="5" t="s">
        <v>24</v>
      </c>
      <c r="B27" s="5" t="s">
        <v>22</v>
      </c>
      <c r="C27" s="5" t="s">
        <v>102</v>
      </c>
      <c r="D27" s="5" t="s">
        <v>86</v>
      </c>
      <c r="E27" s="5" t="s">
        <v>103</v>
      </c>
      <c r="F27" s="6" t="s">
        <v>47</v>
      </c>
      <c r="G27" s="7"/>
    </row>
    <row r="28" ht="15.75" customHeight="1">
      <c r="A28" s="5" t="s">
        <v>24</v>
      </c>
      <c r="B28" s="5" t="s">
        <v>22</v>
      </c>
      <c r="C28" s="5" t="s">
        <v>104</v>
      </c>
      <c r="D28" s="5" t="s">
        <v>86</v>
      </c>
      <c r="E28" s="5" t="s">
        <v>105</v>
      </c>
      <c r="F28" s="6" t="s">
        <v>47</v>
      </c>
      <c r="G28" s="7"/>
    </row>
    <row r="29" ht="15.75" customHeight="1">
      <c r="A29" s="5" t="s">
        <v>24</v>
      </c>
      <c r="B29" s="5" t="s">
        <v>22</v>
      </c>
      <c r="C29" s="5" t="s">
        <v>106</v>
      </c>
      <c r="D29" s="5" t="s">
        <v>86</v>
      </c>
      <c r="E29" s="5" t="s">
        <v>107</v>
      </c>
      <c r="F29" s="6" t="s">
        <v>47</v>
      </c>
      <c r="G29" s="7"/>
    </row>
    <row r="30" ht="15.75" customHeight="1">
      <c r="A30" s="5" t="s">
        <v>24</v>
      </c>
      <c r="B30" s="5" t="s">
        <v>22</v>
      </c>
      <c r="C30" s="5" t="s">
        <v>108</v>
      </c>
      <c r="D30" s="5" t="s">
        <v>86</v>
      </c>
      <c r="E30" s="5" t="s">
        <v>109</v>
      </c>
      <c r="F30" s="6" t="s">
        <v>47</v>
      </c>
      <c r="G30" s="7"/>
    </row>
    <row r="31" ht="15.75" customHeight="1">
      <c r="A31" s="5" t="s">
        <v>24</v>
      </c>
      <c r="B31" s="5" t="s">
        <v>22</v>
      </c>
      <c r="C31" s="5" t="s">
        <v>110</v>
      </c>
      <c r="D31" s="5" t="s">
        <v>86</v>
      </c>
      <c r="E31" s="5" t="s">
        <v>111</v>
      </c>
      <c r="F31" s="6" t="s">
        <v>47</v>
      </c>
      <c r="G31" s="7"/>
    </row>
    <row r="32" ht="15.75" customHeight="1">
      <c r="A32" s="5" t="s">
        <v>24</v>
      </c>
      <c r="B32" s="5" t="s">
        <v>22</v>
      </c>
      <c r="C32" s="5" t="s">
        <v>112</v>
      </c>
      <c r="D32" s="5" t="s">
        <v>86</v>
      </c>
      <c r="E32" s="5" t="s">
        <v>113</v>
      </c>
      <c r="F32" s="6" t="s">
        <v>47</v>
      </c>
      <c r="G32" s="7"/>
    </row>
    <row r="33" ht="15.75" customHeight="1">
      <c r="A33" s="5" t="s">
        <v>24</v>
      </c>
      <c r="B33" s="5" t="s">
        <v>22</v>
      </c>
      <c r="C33" s="5" t="s">
        <v>114</v>
      </c>
      <c r="D33" s="5" t="s">
        <v>86</v>
      </c>
      <c r="E33" s="5" t="s">
        <v>115</v>
      </c>
      <c r="F33" s="6" t="s">
        <v>47</v>
      </c>
      <c r="G33" s="7"/>
    </row>
    <row r="34" ht="15.75" customHeight="1">
      <c r="A34" s="5" t="s">
        <v>24</v>
      </c>
      <c r="B34" s="5" t="s">
        <v>22</v>
      </c>
      <c r="C34" s="5" t="s">
        <v>116</v>
      </c>
      <c r="D34" s="5" t="s">
        <v>86</v>
      </c>
      <c r="E34" s="5" t="s">
        <v>117</v>
      </c>
      <c r="F34" s="6" t="s">
        <v>47</v>
      </c>
      <c r="G34" s="6" t="s">
        <v>118</v>
      </c>
    </row>
    <row r="35" ht="15.75" customHeight="1">
      <c r="A35" s="5" t="s">
        <v>24</v>
      </c>
      <c r="B35" s="5" t="s">
        <v>22</v>
      </c>
      <c r="C35" s="5" t="s">
        <v>119</v>
      </c>
      <c r="D35" s="5" t="s">
        <v>86</v>
      </c>
      <c r="E35" s="5" t="s">
        <v>120</v>
      </c>
      <c r="F35" s="6" t="s">
        <v>47</v>
      </c>
      <c r="G35" s="7"/>
    </row>
    <row r="36" ht="15.75" customHeight="1">
      <c r="A36" s="5" t="s">
        <v>24</v>
      </c>
      <c r="B36" s="5" t="s">
        <v>22</v>
      </c>
      <c r="C36" s="5" t="s">
        <v>121</v>
      </c>
      <c r="D36" s="5" t="s">
        <v>86</v>
      </c>
      <c r="E36" s="5" t="s">
        <v>122</v>
      </c>
      <c r="F36" s="6" t="s">
        <v>47</v>
      </c>
      <c r="G36" s="7"/>
    </row>
    <row r="37" ht="15.75" customHeight="1">
      <c r="A37" s="5" t="s">
        <v>24</v>
      </c>
      <c r="B37" s="5" t="s">
        <v>22</v>
      </c>
      <c r="C37" s="5" t="s">
        <v>123</v>
      </c>
      <c r="D37" s="5" t="s">
        <v>86</v>
      </c>
      <c r="E37" s="5" t="s">
        <v>124</v>
      </c>
      <c r="F37" s="6" t="s">
        <v>47</v>
      </c>
      <c r="G37" s="7"/>
    </row>
    <row r="38" ht="15.75" customHeight="1">
      <c r="A38" s="5" t="s">
        <v>24</v>
      </c>
      <c r="B38" s="5" t="s">
        <v>22</v>
      </c>
      <c r="C38" s="5" t="s">
        <v>125</v>
      </c>
      <c r="D38" s="5" t="s">
        <v>86</v>
      </c>
      <c r="E38" s="5" t="s">
        <v>126</v>
      </c>
      <c r="F38" s="6" t="s">
        <v>47</v>
      </c>
      <c r="G38" s="7"/>
    </row>
    <row r="39" ht="15.75" customHeight="1">
      <c r="A39" s="5" t="s">
        <v>24</v>
      </c>
      <c r="B39" s="5" t="s">
        <v>22</v>
      </c>
      <c r="C39" s="5" t="s">
        <v>127</v>
      </c>
      <c r="D39" s="5" t="s">
        <v>86</v>
      </c>
      <c r="E39" s="5" t="s">
        <v>128</v>
      </c>
      <c r="F39" s="6" t="s">
        <v>47</v>
      </c>
      <c r="G39" s="7"/>
    </row>
    <row r="40" ht="15.75" customHeight="1">
      <c r="A40" s="5" t="s">
        <v>24</v>
      </c>
      <c r="B40" s="5" t="s">
        <v>22</v>
      </c>
      <c r="C40" s="5" t="s">
        <v>129</v>
      </c>
      <c r="D40" s="5" t="s">
        <v>86</v>
      </c>
      <c r="E40" s="5" t="s">
        <v>130</v>
      </c>
      <c r="F40" s="6" t="s">
        <v>46</v>
      </c>
      <c r="G40" s="7"/>
    </row>
    <row r="41" ht="15.75" customHeight="1">
      <c r="A41" s="5" t="s">
        <v>24</v>
      </c>
      <c r="B41" s="5" t="s">
        <v>22</v>
      </c>
      <c r="C41" s="5" t="s">
        <v>131</v>
      </c>
      <c r="D41" s="5" t="s">
        <v>86</v>
      </c>
      <c r="E41" s="5" t="s">
        <v>132</v>
      </c>
      <c r="F41" s="6" t="s">
        <v>46</v>
      </c>
      <c r="G41" s="7"/>
    </row>
    <row r="42" ht="15.75" customHeight="1">
      <c r="A42" s="5" t="s">
        <v>24</v>
      </c>
      <c r="B42" s="5" t="s">
        <v>22</v>
      </c>
      <c r="C42" s="5" t="s">
        <v>133</v>
      </c>
      <c r="D42" s="5" t="s">
        <v>86</v>
      </c>
      <c r="E42" s="5" t="s">
        <v>134</v>
      </c>
      <c r="F42" s="6" t="s">
        <v>46</v>
      </c>
      <c r="G42" s="7"/>
    </row>
    <row r="43" ht="15.75" customHeight="1">
      <c r="A43" s="5" t="s">
        <v>24</v>
      </c>
      <c r="B43" s="5" t="s">
        <v>22</v>
      </c>
      <c r="C43" s="5" t="s">
        <v>135</v>
      </c>
      <c r="D43" s="5" t="s">
        <v>86</v>
      </c>
      <c r="E43" s="5" t="s">
        <v>136</v>
      </c>
      <c r="F43" s="6" t="s">
        <v>47</v>
      </c>
      <c r="G43" s="7"/>
    </row>
    <row r="44" ht="15.75" customHeight="1">
      <c r="A44" s="5" t="s">
        <v>24</v>
      </c>
      <c r="B44" s="5" t="s">
        <v>22</v>
      </c>
      <c r="C44" s="5" t="s">
        <v>137</v>
      </c>
      <c r="D44" s="5" t="s">
        <v>86</v>
      </c>
      <c r="E44" s="5" t="s">
        <v>138</v>
      </c>
      <c r="F44" s="6" t="s">
        <v>46</v>
      </c>
      <c r="G44" s="7"/>
    </row>
    <row r="45" ht="15.75" customHeight="1">
      <c r="A45" s="5" t="s">
        <v>35</v>
      </c>
      <c r="B45" s="5" t="s">
        <v>34</v>
      </c>
      <c r="C45" s="5" t="s">
        <v>30</v>
      </c>
      <c r="D45" s="5" t="s">
        <v>139</v>
      </c>
      <c r="E45" s="5" t="s">
        <v>140</v>
      </c>
      <c r="F45" s="6" t="s">
        <v>47</v>
      </c>
      <c r="G45" s="7"/>
    </row>
    <row r="46" ht="15.75" customHeight="1">
      <c r="A46" s="5" t="s">
        <v>35</v>
      </c>
      <c r="B46" s="5" t="s">
        <v>34</v>
      </c>
      <c r="C46" s="5" t="s">
        <v>48</v>
      </c>
      <c r="D46" s="5" t="s">
        <v>139</v>
      </c>
      <c r="E46" s="5" t="s">
        <v>141</v>
      </c>
      <c r="F46" s="6" t="s">
        <v>46</v>
      </c>
      <c r="G46" s="7"/>
    </row>
    <row r="47" ht="15.75" customHeight="1">
      <c r="A47" s="5" t="s">
        <v>35</v>
      </c>
      <c r="B47" s="5" t="s">
        <v>34</v>
      </c>
      <c r="C47" s="5" t="s">
        <v>51</v>
      </c>
      <c r="D47" s="5" t="s">
        <v>56</v>
      </c>
      <c r="E47" s="5" t="s">
        <v>142</v>
      </c>
      <c r="F47" s="6" t="s">
        <v>47</v>
      </c>
      <c r="G47" s="7"/>
    </row>
    <row r="48" ht="15.75" customHeight="1">
      <c r="A48" s="5" t="s">
        <v>35</v>
      </c>
      <c r="B48" s="5" t="s">
        <v>34</v>
      </c>
      <c r="C48" s="5" t="s">
        <v>53</v>
      </c>
      <c r="D48" s="5" t="s">
        <v>56</v>
      </c>
      <c r="E48" s="5" t="s">
        <v>143</v>
      </c>
      <c r="F48" s="6" t="s">
        <v>47</v>
      </c>
      <c r="G48" s="7"/>
    </row>
    <row r="49" ht="15.75" customHeight="1">
      <c r="A49" s="5" t="s">
        <v>35</v>
      </c>
      <c r="B49" s="5" t="s">
        <v>34</v>
      </c>
      <c r="C49" s="5" t="s">
        <v>55</v>
      </c>
      <c r="D49" s="5" t="s">
        <v>56</v>
      </c>
      <c r="E49" s="5" t="s">
        <v>144</v>
      </c>
      <c r="F49" s="6" t="s">
        <v>47</v>
      </c>
      <c r="G49" s="7"/>
    </row>
    <row r="50" ht="15.75" customHeight="1">
      <c r="A50" s="5" t="s">
        <v>35</v>
      </c>
      <c r="B50" s="5" t="s">
        <v>34</v>
      </c>
      <c r="C50" s="5" t="s">
        <v>58</v>
      </c>
      <c r="D50" s="5" t="s">
        <v>56</v>
      </c>
      <c r="E50" s="5" t="s">
        <v>145</v>
      </c>
      <c r="F50" s="6" t="s">
        <v>47</v>
      </c>
      <c r="G50" s="7"/>
    </row>
    <row r="51" ht="15.75" customHeight="1">
      <c r="A51" s="5" t="s">
        <v>35</v>
      </c>
      <c r="B51" s="5" t="s">
        <v>34</v>
      </c>
      <c r="C51" s="5" t="s">
        <v>60</v>
      </c>
      <c r="D51" s="5" t="s">
        <v>56</v>
      </c>
      <c r="E51" s="5" t="s">
        <v>146</v>
      </c>
      <c r="F51" s="6" t="s">
        <v>47</v>
      </c>
      <c r="G51" s="7"/>
    </row>
    <row r="52" ht="15.75" customHeight="1">
      <c r="A52" s="5" t="s">
        <v>35</v>
      </c>
      <c r="B52" s="5" t="s">
        <v>34</v>
      </c>
      <c r="C52" s="5" t="s">
        <v>62</v>
      </c>
      <c r="D52" s="5" t="s">
        <v>56</v>
      </c>
      <c r="E52" s="5" t="s">
        <v>147</v>
      </c>
      <c r="F52" s="6" t="s">
        <v>47</v>
      </c>
      <c r="G52" s="7"/>
    </row>
    <row r="53" ht="15.75" customHeight="1">
      <c r="A53" s="5" t="s">
        <v>35</v>
      </c>
      <c r="B53" s="5" t="s">
        <v>34</v>
      </c>
      <c r="C53" s="5" t="s">
        <v>64</v>
      </c>
      <c r="D53" s="5" t="s">
        <v>56</v>
      </c>
      <c r="E53" s="5" t="s">
        <v>148</v>
      </c>
      <c r="F53" s="6" t="s">
        <v>47</v>
      </c>
      <c r="G53" s="7"/>
    </row>
    <row r="54" ht="15.75" customHeight="1">
      <c r="A54" s="5" t="s">
        <v>35</v>
      </c>
      <c r="B54" s="5" t="s">
        <v>34</v>
      </c>
      <c r="C54" s="5" t="s">
        <v>66</v>
      </c>
      <c r="D54" s="5" t="s">
        <v>71</v>
      </c>
      <c r="E54" s="5" t="s">
        <v>149</v>
      </c>
      <c r="F54" s="6" t="s">
        <v>47</v>
      </c>
      <c r="G54" s="7"/>
    </row>
    <row r="55" ht="15.75" customHeight="1">
      <c r="A55" s="5" t="s">
        <v>35</v>
      </c>
      <c r="B55" s="5" t="s">
        <v>34</v>
      </c>
      <c r="C55" s="5" t="s">
        <v>68</v>
      </c>
      <c r="D55" s="5" t="s">
        <v>71</v>
      </c>
      <c r="E55" s="5" t="s">
        <v>150</v>
      </c>
      <c r="F55" s="6" t="s">
        <v>46</v>
      </c>
      <c r="G55" s="7"/>
    </row>
    <row r="56" ht="15.75" customHeight="1">
      <c r="A56" s="5" t="s">
        <v>35</v>
      </c>
      <c r="B56" s="5" t="s">
        <v>34</v>
      </c>
      <c r="C56" s="5" t="s">
        <v>70</v>
      </c>
      <c r="D56" s="5" t="s">
        <v>71</v>
      </c>
      <c r="E56" s="5" t="s">
        <v>151</v>
      </c>
      <c r="F56" s="6" t="s">
        <v>46</v>
      </c>
      <c r="G56" s="7"/>
    </row>
    <row r="57" ht="15.75" customHeight="1">
      <c r="A57" s="5" t="s">
        <v>35</v>
      </c>
      <c r="B57" s="5" t="s">
        <v>34</v>
      </c>
      <c r="C57" s="5" t="s">
        <v>73</v>
      </c>
      <c r="D57" s="5" t="s">
        <v>71</v>
      </c>
      <c r="E57" s="5" t="s">
        <v>152</v>
      </c>
      <c r="F57" s="6" t="s">
        <v>46</v>
      </c>
      <c r="G57" s="7"/>
    </row>
    <row r="58" ht="15.75" customHeight="1">
      <c r="A58" s="5" t="s">
        <v>35</v>
      </c>
      <c r="B58" s="5" t="s">
        <v>34</v>
      </c>
      <c r="C58" s="5" t="s">
        <v>75</v>
      </c>
      <c r="D58" s="5" t="s">
        <v>71</v>
      </c>
      <c r="E58" s="5" t="s">
        <v>153</v>
      </c>
      <c r="F58" s="6" t="s">
        <v>46</v>
      </c>
      <c r="G58" s="7"/>
    </row>
    <row r="59" ht="15.75" customHeight="1">
      <c r="A59" s="5" t="s">
        <v>35</v>
      </c>
      <c r="B59" s="5" t="s">
        <v>34</v>
      </c>
      <c r="C59" s="5" t="s">
        <v>77</v>
      </c>
      <c r="D59" s="5" t="s">
        <v>71</v>
      </c>
      <c r="E59" s="5" t="s">
        <v>154</v>
      </c>
      <c r="F59" s="6" t="s">
        <v>46</v>
      </c>
      <c r="G59" s="7"/>
    </row>
    <row r="60" ht="15.75" customHeight="1">
      <c r="A60" s="5" t="s">
        <v>35</v>
      </c>
      <c r="B60" s="5" t="s">
        <v>34</v>
      </c>
      <c r="C60" s="5" t="s">
        <v>80</v>
      </c>
      <c r="D60" s="5" t="s">
        <v>71</v>
      </c>
      <c r="E60" s="5" t="s">
        <v>155</v>
      </c>
      <c r="F60" s="6" t="s">
        <v>46</v>
      </c>
      <c r="G60" s="7"/>
    </row>
    <row r="61" ht="15.75" customHeight="1">
      <c r="A61" s="5" t="s">
        <v>35</v>
      </c>
      <c r="B61" s="5" t="s">
        <v>34</v>
      </c>
      <c r="C61" s="5" t="s">
        <v>82</v>
      </c>
      <c r="D61" s="5" t="s">
        <v>78</v>
      </c>
      <c r="E61" s="5" t="s">
        <v>156</v>
      </c>
      <c r="F61" s="6" t="s">
        <v>46</v>
      </c>
      <c r="G61" s="7"/>
    </row>
    <row r="62" ht="15.75" customHeight="1">
      <c r="A62" s="5" t="s">
        <v>35</v>
      </c>
      <c r="B62" s="5" t="s">
        <v>34</v>
      </c>
      <c r="C62" s="5" t="s">
        <v>85</v>
      </c>
      <c r="D62" s="5" t="s">
        <v>86</v>
      </c>
      <c r="E62" s="5" t="s">
        <v>157</v>
      </c>
      <c r="F62" s="6" t="s">
        <v>47</v>
      </c>
      <c r="G62" s="7"/>
    </row>
    <row r="63" ht="15.75" customHeight="1">
      <c r="A63" s="5" t="s">
        <v>35</v>
      </c>
      <c r="B63" s="5" t="s">
        <v>34</v>
      </c>
      <c r="C63" s="5" t="s">
        <v>88</v>
      </c>
      <c r="D63" s="5" t="s">
        <v>86</v>
      </c>
      <c r="E63" s="5" t="s">
        <v>158</v>
      </c>
      <c r="F63" s="6" t="s">
        <v>47</v>
      </c>
      <c r="G63" s="7"/>
    </row>
    <row r="64" ht="15.75" customHeight="1">
      <c r="A64" s="5" t="s">
        <v>35</v>
      </c>
      <c r="B64" s="5" t="s">
        <v>34</v>
      </c>
      <c r="C64" s="5" t="s">
        <v>90</v>
      </c>
      <c r="D64" s="5" t="s">
        <v>86</v>
      </c>
      <c r="E64" s="5" t="s">
        <v>159</v>
      </c>
      <c r="F64" s="6" t="s">
        <v>47</v>
      </c>
      <c r="G64" s="7"/>
    </row>
    <row r="65" ht="15.75" customHeight="1">
      <c r="A65" s="5" t="s">
        <v>35</v>
      </c>
      <c r="B65" s="5" t="s">
        <v>34</v>
      </c>
      <c r="C65" s="5" t="s">
        <v>92</v>
      </c>
      <c r="D65" s="5" t="s">
        <v>86</v>
      </c>
      <c r="E65" s="5" t="s">
        <v>160</v>
      </c>
      <c r="F65" s="6" t="s">
        <v>47</v>
      </c>
      <c r="G65" s="7"/>
    </row>
    <row r="66" ht="15.75" customHeight="1">
      <c r="A66" s="5" t="s">
        <v>35</v>
      </c>
      <c r="B66" s="5" t="s">
        <v>34</v>
      </c>
      <c r="C66" s="5" t="s">
        <v>94</v>
      </c>
      <c r="D66" s="5" t="s">
        <v>86</v>
      </c>
      <c r="E66" s="5" t="s">
        <v>161</v>
      </c>
      <c r="F66" s="6" t="s">
        <v>47</v>
      </c>
      <c r="G66" s="7"/>
    </row>
    <row r="67" ht="15.75" customHeight="1">
      <c r="A67" s="5" t="s">
        <v>35</v>
      </c>
      <c r="B67" s="5" t="s">
        <v>34</v>
      </c>
      <c r="C67" s="5" t="s">
        <v>96</v>
      </c>
      <c r="D67" s="5" t="s">
        <v>86</v>
      </c>
      <c r="E67" s="5" t="s">
        <v>162</v>
      </c>
      <c r="F67" s="6" t="s">
        <v>47</v>
      </c>
      <c r="G67" s="7"/>
    </row>
    <row r="68" ht="15.75" customHeight="1">
      <c r="A68" s="5" t="s">
        <v>35</v>
      </c>
      <c r="B68" s="5" t="s">
        <v>34</v>
      </c>
      <c r="C68" s="5" t="s">
        <v>98</v>
      </c>
      <c r="D68" s="5" t="s">
        <v>86</v>
      </c>
      <c r="E68" s="5" t="s">
        <v>163</v>
      </c>
      <c r="F68" s="6" t="s">
        <v>47</v>
      </c>
      <c r="G68" s="7"/>
    </row>
    <row r="69" ht="15.75" customHeight="1">
      <c r="A69" s="5" t="s">
        <v>35</v>
      </c>
      <c r="B69" s="5" t="s">
        <v>34</v>
      </c>
      <c r="C69" s="5" t="s">
        <v>100</v>
      </c>
      <c r="D69" s="5" t="s">
        <v>86</v>
      </c>
      <c r="E69" s="5" t="s">
        <v>164</v>
      </c>
      <c r="F69" s="6" t="s">
        <v>47</v>
      </c>
      <c r="G69" s="7"/>
    </row>
    <row r="70" ht="15.75" customHeight="1">
      <c r="A70" s="5" t="s">
        <v>35</v>
      </c>
      <c r="B70" s="5" t="s">
        <v>34</v>
      </c>
      <c r="C70" s="5" t="s">
        <v>102</v>
      </c>
      <c r="D70" s="5" t="s">
        <v>86</v>
      </c>
      <c r="E70" s="5" t="s">
        <v>165</v>
      </c>
      <c r="F70" s="6" t="s">
        <v>47</v>
      </c>
      <c r="G70" s="7"/>
    </row>
    <row r="71" ht="15.75" customHeight="1">
      <c r="A71" s="5" t="s">
        <v>35</v>
      </c>
      <c r="B71" s="5" t="s">
        <v>34</v>
      </c>
      <c r="C71" s="5" t="s">
        <v>104</v>
      </c>
      <c r="D71" s="5" t="s">
        <v>86</v>
      </c>
      <c r="E71" s="5" t="s">
        <v>166</v>
      </c>
      <c r="F71" s="6" t="s">
        <v>47</v>
      </c>
      <c r="G71" s="7"/>
    </row>
    <row r="72" ht="15.75" customHeight="1">
      <c r="A72" s="5" t="s">
        <v>35</v>
      </c>
      <c r="B72" s="5" t="s">
        <v>34</v>
      </c>
      <c r="C72" s="5" t="s">
        <v>106</v>
      </c>
      <c r="D72" s="5" t="s">
        <v>86</v>
      </c>
      <c r="E72" s="5" t="s">
        <v>167</v>
      </c>
      <c r="F72" s="6" t="s">
        <v>47</v>
      </c>
      <c r="G72" s="7"/>
    </row>
    <row r="73" ht="15.75" customHeight="1">
      <c r="A73" s="5" t="s">
        <v>35</v>
      </c>
      <c r="B73" s="5" t="s">
        <v>34</v>
      </c>
      <c r="C73" s="5" t="s">
        <v>108</v>
      </c>
      <c r="D73" s="5" t="s">
        <v>86</v>
      </c>
      <c r="E73" s="5" t="s">
        <v>168</v>
      </c>
      <c r="F73" s="6" t="s">
        <v>47</v>
      </c>
      <c r="G73" s="7"/>
    </row>
    <row r="74" ht="15.75" customHeight="1">
      <c r="A74" s="5" t="s">
        <v>35</v>
      </c>
      <c r="B74" s="5" t="s">
        <v>34</v>
      </c>
      <c r="C74" s="5" t="s">
        <v>110</v>
      </c>
      <c r="D74" s="5" t="s">
        <v>86</v>
      </c>
      <c r="E74" s="5" t="s">
        <v>169</v>
      </c>
      <c r="F74" s="6" t="s">
        <v>47</v>
      </c>
      <c r="G74" s="7"/>
    </row>
    <row r="75" ht="15.75" customHeight="1">
      <c r="A75" s="5" t="s">
        <v>35</v>
      </c>
      <c r="B75" s="5" t="s">
        <v>34</v>
      </c>
      <c r="C75" s="5" t="s">
        <v>112</v>
      </c>
      <c r="D75" s="5" t="s">
        <v>86</v>
      </c>
      <c r="E75" s="5" t="s">
        <v>170</v>
      </c>
      <c r="F75" s="6" t="s">
        <v>47</v>
      </c>
      <c r="G75" s="7"/>
    </row>
    <row r="76" ht="15.75" customHeight="1">
      <c r="A76" s="5" t="s">
        <v>35</v>
      </c>
      <c r="B76" s="5" t="s">
        <v>34</v>
      </c>
      <c r="C76" s="5" t="s">
        <v>114</v>
      </c>
      <c r="D76" s="5" t="s">
        <v>86</v>
      </c>
      <c r="E76" s="5" t="s">
        <v>171</v>
      </c>
      <c r="F76" s="6" t="s">
        <v>46</v>
      </c>
      <c r="G76" s="7"/>
    </row>
    <row r="77" ht="15.75" customHeight="1">
      <c r="A77" s="5" t="s">
        <v>35</v>
      </c>
      <c r="B77" s="5" t="s">
        <v>34</v>
      </c>
      <c r="C77" s="5" t="s">
        <v>116</v>
      </c>
      <c r="D77" s="5" t="s">
        <v>86</v>
      </c>
      <c r="E77" s="5" t="s">
        <v>172</v>
      </c>
      <c r="F77" s="6" t="s">
        <v>46</v>
      </c>
      <c r="G77" s="7"/>
    </row>
    <row r="78" ht="15.75" customHeight="1">
      <c r="A78" s="5" t="s">
        <v>35</v>
      </c>
      <c r="B78" s="5" t="s">
        <v>34</v>
      </c>
      <c r="C78" s="5" t="s">
        <v>119</v>
      </c>
      <c r="D78" s="5" t="s">
        <v>86</v>
      </c>
      <c r="E78" s="5" t="s">
        <v>173</v>
      </c>
      <c r="F78" s="6" t="s">
        <v>46</v>
      </c>
      <c r="G78" s="7"/>
    </row>
    <row r="79" ht="15.75" customHeight="1">
      <c r="A79" s="5" t="s">
        <v>39</v>
      </c>
      <c r="B79" s="5" t="s">
        <v>38</v>
      </c>
      <c r="C79" s="5" t="s">
        <v>30</v>
      </c>
      <c r="D79" s="5" t="s">
        <v>31</v>
      </c>
      <c r="E79" s="5" t="s">
        <v>174</v>
      </c>
      <c r="F79" s="6" t="s">
        <v>47</v>
      </c>
      <c r="G79" s="7"/>
    </row>
    <row r="80" ht="15.75" customHeight="1">
      <c r="A80" s="5" t="s">
        <v>39</v>
      </c>
      <c r="B80" s="5" t="s">
        <v>38</v>
      </c>
      <c r="C80" s="5" t="s">
        <v>48</v>
      </c>
      <c r="D80" s="5" t="s">
        <v>139</v>
      </c>
      <c r="E80" s="5" t="s">
        <v>175</v>
      </c>
      <c r="F80" s="6" t="s">
        <v>46</v>
      </c>
      <c r="G80" s="7"/>
    </row>
    <row r="81" ht="15.75" customHeight="1">
      <c r="A81" s="5" t="s">
        <v>39</v>
      </c>
      <c r="B81" s="5" t="s">
        <v>38</v>
      </c>
      <c r="C81" s="5" t="s">
        <v>51</v>
      </c>
      <c r="D81" s="5" t="s">
        <v>56</v>
      </c>
      <c r="E81" s="5" t="s">
        <v>176</v>
      </c>
      <c r="F81" s="6" t="s">
        <v>47</v>
      </c>
      <c r="G81" s="7"/>
    </row>
    <row r="82" ht="15.75" customHeight="1">
      <c r="A82" s="5" t="s">
        <v>39</v>
      </c>
      <c r="B82" s="5" t="s">
        <v>38</v>
      </c>
      <c r="C82" s="5" t="s">
        <v>53</v>
      </c>
      <c r="D82" s="5" t="s">
        <v>56</v>
      </c>
      <c r="E82" s="5" t="s">
        <v>177</v>
      </c>
      <c r="F82" s="6" t="s">
        <v>47</v>
      </c>
      <c r="G82" s="7"/>
    </row>
    <row r="83" ht="15.75" customHeight="1">
      <c r="A83" s="5" t="s">
        <v>39</v>
      </c>
      <c r="B83" s="5" t="s">
        <v>38</v>
      </c>
      <c r="C83" s="5" t="s">
        <v>55</v>
      </c>
      <c r="D83" s="5" t="s">
        <v>56</v>
      </c>
      <c r="E83" s="5" t="s">
        <v>178</v>
      </c>
      <c r="F83" s="6" t="s">
        <v>47</v>
      </c>
      <c r="G83" s="7"/>
    </row>
    <row r="84" ht="15.75" customHeight="1">
      <c r="A84" s="5" t="s">
        <v>39</v>
      </c>
      <c r="B84" s="5" t="s">
        <v>38</v>
      </c>
      <c r="C84" s="5" t="s">
        <v>58</v>
      </c>
      <c r="D84" s="5" t="s">
        <v>56</v>
      </c>
      <c r="E84" s="5" t="s">
        <v>179</v>
      </c>
      <c r="F84" s="6" t="s">
        <v>47</v>
      </c>
      <c r="G84" s="7"/>
    </row>
    <row r="85" ht="15.75" customHeight="1">
      <c r="A85" s="5" t="s">
        <v>39</v>
      </c>
      <c r="B85" s="5" t="s">
        <v>38</v>
      </c>
      <c r="C85" s="5" t="s">
        <v>60</v>
      </c>
      <c r="D85" s="5" t="s">
        <v>56</v>
      </c>
      <c r="E85" s="5" t="s">
        <v>180</v>
      </c>
      <c r="F85" s="6" t="s">
        <v>47</v>
      </c>
      <c r="G85" s="7"/>
    </row>
    <row r="86" ht="15.75" customHeight="1">
      <c r="A86" s="5" t="s">
        <v>39</v>
      </c>
      <c r="B86" s="5" t="s">
        <v>38</v>
      </c>
      <c r="C86" s="5" t="s">
        <v>62</v>
      </c>
      <c r="D86" s="5" t="s">
        <v>56</v>
      </c>
      <c r="E86" s="5" t="s">
        <v>181</v>
      </c>
      <c r="F86" s="6" t="s">
        <v>47</v>
      </c>
      <c r="G86" s="7"/>
    </row>
    <row r="87" ht="15.75" customHeight="1">
      <c r="A87" s="5" t="s">
        <v>39</v>
      </c>
      <c r="B87" s="5" t="s">
        <v>38</v>
      </c>
      <c r="C87" s="5" t="s">
        <v>64</v>
      </c>
      <c r="D87" s="5" t="s">
        <v>56</v>
      </c>
      <c r="E87" s="5" t="s">
        <v>182</v>
      </c>
      <c r="F87" s="6" t="s">
        <v>47</v>
      </c>
      <c r="G87" s="7"/>
    </row>
    <row r="88" ht="15.75" customHeight="1">
      <c r="A88" s="5" t="s">
        <v>39</v>
      </c>
      <c r="B88" s="5" t="s">
        <v>38</v>
      </c>
      <c r="C88" s="5" t="s">
        <v>66</v>
      </c>
      <c r="D88" s="5" t="s">
        <v>56</v>
      </c>
      <c r="E88" s="5" t="s">
        <v>183</v>
      </c>
      <c r="F88" s="6" t="s">
        <v>47</v>
      </c>
      <c r="G88" s="7"/>
    </row>
    <row r="89" ht="15.75" customHeight="1">
      <c r="A89" s="5" t="s">
        <v>39</v>
      </c>
      <c r="B89" s="5" t="s">
        <v>38</v>
      </c>
      <c r="C89" s="5" t="s">
        <v>68</v>
      </c>
      <c r="D89" s="5" t="s">
        <v>56</v>
      </c>
      <c r="E89" s="5" t="s">
        <v>184</v>
      </c>
      <c r="F89" s="6" t="s">
        <v>47</v>
      </c>
      <c r="G89" s="7"/>
    </row>
    <row r="90" ht="15.75" customHeight="1">
      <c r="A90" s="5" t="s">
        <v>39</v>
      </c>
      <c r="B90" s="5" t="s">
        <v>38</v>
      </c>
      <c r="C90" s="5" t="s">
        <v>70</v>
      </c>
      <c r="D90" s="5" t="s">
        <v>56</v>
      </c>
      <c r="E90" s="5" t="s">
        <v>185</v>
      </c>
      <c r="F90" s="6" t="s">
        <v>47</v>
      </c>
      <c r="G90" s="7"/>
    </row>
    <row r="91" ht="15.75" customHeight="1">
      <c r="A91" s="5" t="s">
        <v>39</v>
      </c>
      <c r="B91" s="5" t="s">
        <v>38</v>
      </c>
      <c r="C91" s="5" t="s">
        <v>73</v>
      </c>
      <c r="D91" s="5" t="s">
        <v>71</v>
      </c>
      <c r="E91" s="5" t="s">
        <v>186</v>
      </c>
      <c r="F91" s="6" t="s">
        <v>47</v>
      </c>
      <c r="G91" s="7"/>
    </row>
    <row r="92" ht="15.75" customHeight="1">
      <c r="A92" s="5" t="s">
        <v>39</v>
      </c>
      <c r="B92" s="5" t="s">
        <v>38</v>
      </c>
      <c r="C92" s="5" t="s">
        <v>75</v>
      </c>
      <c r="D92" s="5" t="s">
        <v>71</v>
      </c>
      <c r="E92" s="5" t="s">
        <v>187</v>
      </c>
      <c r="F92" s="6" t="s">
        <v>47</v>
      </c>
      <c r="G92" s="7"/>
    </row>
    <row r="93" ht="15.75" customHeight="1">
      <c r="A93" s="5" t="s">
        <v>39</v>
      </c>
      <c r="B93" s="5" t="s">
        <v>38</v>
      </c>
      <c r="C93" s="5" t="s">
        <v>77</v>
      </c>
      <c r="D93" s="5" t="s">
        <v>71</v>
      </c>
      <c r="E93" s="5" t="s">
        <v>188</v>
      </c>
      <c r="F93" s="6" t="s">
        <v>47</v>
      </c>
      <c r="G93" s="7"/>
    </row>
    <row r="94" ht="15.75" customHeight="1">
      <c r="A94" s="5" t="s">
        <v>39</v>
      </c>
      <c r="B94" s="5" t="s">
        <v>38</v>
      </c>
      <c r="C94" s="5" t="s">
        <v>80</v>
      </c>
      <c r="D94" s="5" t="s">
        <v>71</v>
      </c>
      <c r="E94" s="5" t="s">
        <v>189</v>
      </c>
      <c r="F94" s="6" t="s">
        <v>46</v>
      </c>
      <c r="G94" s="7"/>
    </row>
    <row r="95" ht="15.75" customHeight="1">
      <c r="A95" s="5" t="s">
        <v>39</v>
      </c>
      <c r="B95" s="5" t="s">
        <v>38</v>
      </c>
      <c r="C95" s="5" t="s">
        <v>82</v>
      </c>
      <c r="D95" s="5" t="s">
        <v>78</v>
      </c>
      <c r="E95" s="5" t="s">
        <v>190</v>
      </c>
      <c r="F95" s="6" t="s">
        <v>46</v>
      </c>
      <c r="G95" s="7"/>
    </row>
    <row r="96" ht="15.75" customHeight="1">
      <c r="A96" s="5" t="s">
        <v>39</v>
      </c>
      <c r="B96" s="5" t="s">
        <v>38</v>
      </c>
      <c r="C96" s="5" t="s">
        <v>85</v>
      </c>
      <c r="D96" s="5" t="s">
        <v>78</v>
      </c>
      <c r="E96" s="5" t="s">
        <v>191</v>
      </c>
      <c r="F96" s="6" t="s">
        <v>47</v>
      </c>
      <c r="G96" s="7"/>
    </row>
    <row r="97" ht="15.75" customHeight="1">
      <c r="A97" s="5" t="s">
        <v>39</v>
      </c>
      <c r="B97" s="5" t="s">
        <v>38</v>
      </c>
      <c r="C97" s="5" t="s">
        <v>88</v>
      </c>
      <c r="D97" s="5" t="s">
        <v>86</v>
      </c>
      <c r="E97" s="5" t="s">
        <v>192</v>
      </c>
      <c r="F97" s="6" t="s">
        <v>47</v>
      </c>
      <c r="G97" s="7"/>
    </row>
    <row r="98" ht="15.75" customHeight="1">
      <c r="A98" s="5" t="s">
        <v>39</v>
      </c>
      <c r="B98" s="5" t="s">
        <v>38</v>
      </c>
      <c r="C98" s="5" t="s">
        <v>90</v>
      </c>
      <c r="D98" s="5" t="s">
        <v>86</v>
      </c>
      <c r="E98" s="5" t="s">
        <v>193</v>
      </c>
      <c r="F98" s="6" t="s">
        <v>47</v>
      </c>
      <c r="G98" s="7"/>
    </row>
    <row r="99" ht="15.75" customHeight="1">
      <c r="A99" s="5" t="s">
        <v>39</v>
      </c>
      <c r="B99" s="5" t="s">
        <v>38</v>
      </c>
      <c r="C99" s="5" t="s">
        <v>92</v>
      </c>
      <c r="D99" s="5" t="s">
        <v>86</v>
      </c>
      <c r="E99" s="5" t="s">
        <v>194</v>
      </c>
      <c r="F99" s="6" t="s">
        <v>47</v>
      </c>
      <c r="G99" s="7"/>
    </row>
    <row r="100" ht="15.75" customHeight="1">
      <c r="A100" s="5" t="s">
        <v>39</v>
      </c>
      <c r="B100" s="5" t="s">
        <v>38</v>
      </c>
      <c r="C100" s="5" t="s">
        <v>94</v>
      </c>
      <c r="D100" s="5" t="s">
        <v>86</v>
      </c>
      <c r="E100" s="5" t="s">
        <v>195</v>
      </c>
      <c r="F100" s="6" t="s">
        <v>47</v>
      </c>
      <c r="G100" s="7"/>
    </row>
    <row r="101" ht="15.75" customHeight="1">
      <c r="A101" s="5" t="s">
        <v>39</v>
      </c>
      <c r="B101" s="5" t="s">
        <v>38</v>
      </c>
      <c r="C101" s="5" t="s">
        <v>96</v>
      </c>
      <c r="D101" s="5" t="s">
        <v>86</v>
      </c>
      <c r="E101" s="5" t="s">
        <v>196</v>
      </c>
      <c r="F101" s="6" t="s">
        <v>47</v>
      </c>
      <c r="G101" s="7"/>
    </row>
    <row r="102" ht="15.75" customHeight="1">
      <c r="A102" s="5" t="s">
        <v>39</v>
      </c>
      <c r="B102" s="5" t="s">
        <v>38</v>
      </c>
      <c r="C102" s="5" t="s">
        <v>98</v>
      </c>
      <c r="D102" s="5" t="s">
        <v>86</v>
      </c>
      <c r="E102" s="5" t="s">
        <v>197</v>
      </c>
      <c r="F102" s="6" t="s">
        <v>47</v>
      </c>
      <c r="G102" s="7"/>
    </row>
    <row r="103" ht="15.75" customHeight="1">
      <c r="A103" s="5" t="s">
        <v>39</v>
      </c>
      <c r="B103" s="5" t="s">
        <v>38</v>
      </c>
      <c r="C103" s="5" t="s">
        <v>100</v>
      </c>
      <c r="D103" s="5" t="s">
        <v>86</v>
      </c>
      <c r="E103" s="5" t="s">
        <v>198</v>
      </c>
      <c r="F103" s="6" t="s">
        <v>47</v>
      </c>
      <c r="G103" s="7"/>
    </row>
    <row r="104" ht="15.75" customHeight="1">
      <c r="A104" s="5" t="s">
        <v>39</v>
      </c>
      <c r="B104" s="5" t="s">
        <v>38</v>
      </c>
      <c r="C104" s="5" t="s">
        <v>102</v>
      </c>
      <c r="D104" s="5" t="s">
        <v>86</v>
      </c>
      <c r="E104" s="5" t="s">
        <v>199</v>
      </c>
      <c r="F104" s="6" t="s">
        <v>47</v>
      </c>
      <c r="G104" s="7"/>
    </row>
    <row r="105" ht="15.75" customHeight="1">
      <c r="A105" s="5" t="s">
        <v>39</v>
      </c>
      <c r="B105" s="5" t="s">
        <v>38</v>
      </c>
      <c r="C105" s="5" t="s">
        <v>104</v>
      </c>
      <c r="D105" s="5" t="s">
        <v>86</v>
      </c>
      <c r="E105" s="5" t="s">
        <v>200</v>
      </c>
      <c r="F105" s="6" t="s">
        <v>47</v>
      </c>
      <c r="G105" s="7"/>
    </row>
    <row r="106" ht="15.75" customHeight="1">
      <c r="A106" s="5" t="s">
        <v>39</v>
      </c>
      <c r="B106" s="5" t="s">
        <v>38</v>
      </c>
      <c r="C106" s="5" t="s">
        <v>106</v>
      </c>
      <c r="D106" s="5" t="s">
        <v>86</v>
      </c>
      <c r="E106" s="5" t="s">
        <v>201</v>
      </c>
      <c r="F106" s="6" t="s">
        <v>47</v>
      </c>
      <c r="G106" s="7"/>
    </row>
    <row r="107" ht="15.75" customHeight="1">
      <c r="A107" s="5" t="s">
        <v>39</v>
      </c>
      <c r="B107" s="5" t="s">
        <v>38</v>
      </c>
      <c r="C107" s="5" t="s">
        <v>108</v>
      </c>
      <c r="D107" s="5" t="s">
        <v>86</v>
      </c>
      <c r="E107" s="5" t="s">
        <v>202</v>
      </c>
      <c r="F107" s="6" t="s">
        <v>47</v>
      </c>
      <c r="G107" s="7"/>
    </row>
    <row r="108" ht="15.75" customHeight="1">
      <c r="A108" s="5" t="s">
        <v>39</v>
      </c>
      <c r="B108" s="5" t="s">
        <v>38</v>
      </c>
      <c r="C108" s="5" t="s">
        <v>110</v>
      </c>
      <c r="D108" s="5" t="s">
        <v>86</v>
      </c>
      <c r="E108" s="5" t="s">
        <v>203</v>
      </c>
      <c r="F108" s="6" t="s">
        <v>46</v>
      </c>
      <c r="G108" s="7"/>
    </row>
    <row r="109" ht="15.75" customHeight="1">
      <c r="A109" s="5" t="s">
        <v>43</v>
      </c>
      <c r="B109" s="5" t="s">
        <v>42</v>
      </c>
      <c r="C109" s="5" t="s">
        <v>30</v>
      </c>
      <c r="D109" s="5" t="s">
        <v>204</v>
      </c>
      <c r="E109" s="5" t="s">
        <v>205</v>
      </c>
      <c r="F109" s="6" t="s">
        <v>46</v>
      </c>
      <c r="G109" s="7"/>
    </row>
    <row r="110" ht="15.75" customHeight="1">
      <c r="A110" s="5" t="s">
        <v>43</v>
      </c>
      <c r="B110" s="5" t="s">
        <v>42</v>
      </c>
      <c r="C110" s="5" t="s">
        <v>48</v>
      </c>
      <c r="D110" s="5" t="s">
        <v>204</v>
      </c>
      <c r="E110" s="5" t="s">
        <v>206</v>
      </c>
      <c r="F110" s="6" t="s">
        <v>47</v>
      </c>
      <c r="G110" s="7"/>
    </row>
    <row r="111" ht="15.75" customHeight="1">
      <c r="A111" s="5" t="s">
        <v>43</v>
      </c>
      <c r="B111" s="5" t="s">
        <v>42</v>
      </c>
      <c r="C111" s="5" t="s">
        <v>51</v>
      </c>
      <c r="D111" s="5" t="s">
        <v>204</v>
      </c>
      <c r="E111" s="5" t="s">
        <v>207</v>
      </c>
      <c r="F111" s="6" t="s">
        <v>47</v>
      </c>
      <c r="G111" s="7"/>
    </row>
    <row r="112" ht="15.75" customHeight="1">
      <c r="A112" s="5" t="s">
        <v>43</v>
      </c>
      <c r="B112" s="5" t="s">
        <v>42</v>
      </c>
      <c r="C112" s="5" t="s">
        <v>53</v>
      </c>
      <c r="D112" s="5" t="s">
        <v>204</v>
      </c>
      <c r="E112" s="5" t="s">
        <v>208</v>
      </c>
      <c r="F112" s="6" t="s">
        <v>47</v>
      </c>
      <c r="G112" s="7"/>
    </row>
    <row r="113" ht="15.75" customHeight="1">
      <c r="A113" s="5" t="s">
        <v>43</v>
      </c>
      <c r="B113" s="5" t="s">
        <v>42</v>
      </c>
      <c r="C113" s="5" t="s">
        <v>55</v>
      </c>
      <c r="D113" s="5" t="s">
        <v>204</v>
      </c>
      <c r="E113" s="5" t="s">
        <v>209</v>
      </c>
      <c r="F113" s="6" t="s">
        <v>47</v>
      </c>
      <c r="G113" s="7"/>
    </row>
    <row r="114" ht="15.75" customHeight="1">
      <c r="A114" s="5" t="s">
        <v>43</v>
      </c>
      <c r="B114" s="5" t="s">
        <v>42</v>
      </c>
      <c r="C114" s="5" t="s">
        <v>58</v>
      </c>
      <c r="D114" s="5" t="s">
        <v>204</v>
      </c>
      <c r="E114" s="5" t="s">
        <v>210</v>
      </c>
      <c r="F114" s="6" t="s">
        <v>47</v>
      </c>
      <c r="G114" s="7"/>
    </row>
    <row r="115" ht="15.75" customHeight="1">
      <c r="A115" s="5" t="s">
        <v>43</v>
      </c>
      <c r="B115" s="5" t="s">
        <v>42</v>
      </c>
      <c r="C115" s="5" t="s">
        <v>60</v>
      </c>
      <c r="D115" s="5" t="s">
        <v>204</v>
      </c>
      <c r="E115" s="5" t="s">
        <v>211</v>
      </c>
      <c r="F115" s="6" t="s">
        <v>47</v>
      </c>
      <c r="G115" s="7"/>
    </row>
    <row r="116" ht="15.75" customHeight="1">
      <c r="A116" s="5" t="s">
        <v>43</v>
      </c>
      <c r="B116" s="5" t="s">
        <v>42</v>
      </c>
      <c r="C116" s="5" t="s">
        <v>62</v>
      </c>
      <c r="D116" s="5" t="s">
        <v>204</v>
      </c>
      <c r="E116" s="5" t="s">
        <v>212</v>
      </c>
      <c r="F116" s="6" t="s">
        <v>47</v>
      </c>
      <c r="G116" s="7"/>
    </row>
    <row r="117" ht="15.75" customHeight="1">
      <c r="A117" s="5" t="s">
        <v>43</v>
      </c>
      <c r="B117" s="5" t="s">
        <v>42</v>
      </c>
      <c r="C117" s="5" t="s">
        <v>64</v>
      </c>
      <c r="D117" s="5" t="s">
        <v>204</v>
      </c>
      <c r="E117" s="5" t="s">
        <v>213</v>
      </c>
      <c r="F117" s="6" t="s">
        <v>46</v>
      </c>
      <c r="G117" s="7"/>
    </row>
    <row r="118" ht="15.75" customHeight="1">
      <c r="A118" s="5" t="s">
        <v>43</v>
      </c>
      <c r="B118" s="5" t="s">
        <v>42</v>
      </c>
      <c r="C118" s="5" t="s">
        <v>66</v>
      </c>
      <c r="D118" s="5" t="s">
        <v>204</v>
      </c>
      <c r="E118" s="5" t="s">
        <v>214</v>
      </c>
      <c r="F118" s="6" t="s">
        <v>46</v>
      </c>
      <c r="G118" s="7"/>
    </row>
    <row r="119" ht="15.75" customHeight="1">
      <c r="A119" s="5" t="s">
        <v>43</v>
      </c>
      <c r="B119" s="5" t="s">
        <v>42</v>
      </c>
      <c r="C119" s="5" t="s">
        <v>68</v>
      </c>
      <c r="D119" s="5" t="s">
        <v>204</v>
      </c>
      <c r="E119" s="5" t="s">
        <v>215</v>
      </c>
      <c r="F119" s="6" t="s">
        <v>47</v>
      </c>
      <c r="G119" s="7"/>
    </row>
    <row r="120" ht="15.75" customHeight="1">
      <c r="A120" s="5" t="s">
        <v>43</v>
      </c>
      <c r="B120" s="5" t="s">
        <v>42</v>
      </c>
      <c r="C120" s="5" t="s">
        <v>70</v>
      </c>
      <c r="D120" s="5" t="s">
        <v>86</v>
      </c>
      <c r="E120" s="5" t="s">
        <v>216</v>
      </c>
      <c r="F120" s="6" t="s">
        <v>47</v>
      </c>
      <c r="G120" s="7"/>
    </row>
    <row r="121" ht="15.75" customHeight="1">
      <c r="A121" s="5" t="s">
        <v>43</v>
      </c>
      <c r="B121" s="5" t="s">
        <v>42</v>
      </c>
      <c r="C121" s="5" t="s">
        <v>73</v>
      </c>
      <c r="D121" s="5" t="s">
        <v>86</v>
      </c>
      <c r="E121" s="5" t="s">
        <v>217</v>
      </c>
      <c r="F121" s="6" t="s">
        <v>47</v>
      </c>
      <c r="G121" s="7"/>
    </row>
    <row r="122" ht="15.75" customHeight="1">
      <c r="A122" s="5" t="s">
        <v>43</v>
      </c>
      <c r="B122" s="5" t="s">
        <v>42</v>
      </c>
      <c r="C122" s="5" t="s">
        <v>75</v>
      </c>
      <c r="D122" s="5" t="s">
        <v>86</v>
      </c>
      <c r="E122" s="5" t="s">
        <v>218</v>
      </c>
      <c r="F122" s="6" t="s">
        <v>47</v>
      </c>
      <c r="G122" s="7"/>
    </row>
    <row r="123" ht="15.75" customHeight="1">
      <c r="A123" s="5" t="s">
        <v>43</v>
      </c>
      <c r="B123" s="5" t="s">
        <v>42</v>
      </c>
      <c r="C123" s="5" t="s">
        <v>77</v>
      </c>
      <c r="D123" s="5" t="s">
        <v>86</v>
      </c>
      <c r="E123" s="5" t="s">
        <v>219</v>
      </c>
      <c r="F123" s="6" t="s">
        <v>47</v>
      </c>
      <c r="G123" s="7"/>
    </row>
    <row r="124" ht="15.75" customHeight="1">
      <c r="A124" s="5" t="s">
        <v>43</v>
      </c>
      <c r="B124" s="5" t="s">
        <v>42</v>
      </c>
      <c r="C124" s="5" t="s">
        <v>80</v>
      </c>
      <c r="D124" s="5" t="s">
        <v>86</v>
      </c>
      <c r="E124" s="5" t="s">
        <v>220</v>
      </c>
      <c r="F124" s="6" t="s">
        <v>47</v>
      </c>
      <c r="G124" s="7"/>
    </row>
    <row r="125" ht="15.75" customHeight="1">
      <c r="A125" s="5" t="s">
        <v>43</v>
      </c>
      <c r="B125" s="5" t="s">
        <v>42</v>
      </c>
      <c r="C125" s="5" t="s">
        <v>82</v>
      </c>
      <c r="D125" s="5" t="s">
        <v>86</v>
      </c>
      <c r="E125" s="5" t="s">
        <v>221</v>
      </c>
      <c r="F125" s="6" t="s">
        <v>47</v>
      </c>
      <c r="G125" s="7"/>
    </row>
    <row r="126" ht="15.75" customHeight="1">
      <c r="A126" s="5" t="s">
        <v>43</v>
      </c>
      <c r="B126" s="5" t="s">
        <v>42</v>
      </c>
      <c r="C126" s="5" t="s">
        <v>85</v>
      </c>
      <c r="D126" s="5" t="s">
        <v>86</v>
      </c>
      <c r="E126" s="5" t="s">
        <v>222</v>
      </c>
      <c r="F126" s="6" t="s">
        <v>47</v>
      </c>
      <c r="G126" s="7"/>
    </row>
    <row r="127" ht="15.75" customHeight="1">
      <c r="A127" s="5" t="s">
        <v>43</v>
      </c>
      <c r="B127" s="5" t="s">
        <v>42</v>
      </c>
      <c r="C127" s="5" t="s">
        <v>88</v>
      </c>
      <c r="D127" s="5" t="s">
        <v>86</v>
      </c>
      <c r="E127" s="5" t="s">
        <v>223</v>
      </c>
      <c r="F127" s="6" t="s">
        <v>46</v>
      </c>
      <c r="G127" s="7"/>
    </row>
    <row r="128" ht="15.75" customHeight="1">
      <c r="A128" s="5" t="s">
        <v>43</v>
      </c>
      <c r="B128" s="5" t="s">
        <v>42</v>
      </c>
      <c r="C128" s="5" t="s">
        <v>90</v>
      </c>
      <c r="D128" s="5" t="s">
        <v>86</v>
      </c>
      <c r="E128" s="5" t="s">
        <v>224</v>
      </c>
      <c r="F128" s="6" t="s">
        <v>47</v>
      </c>
      <c r="G128" s="7"/>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28"/>
  <dataValidations>
    <dataValidation type="list" allowBlank="1" showInputMessage="1" showErrorMessage="1" prompt="Invalid label - Pick CLAIM or BACKGROUND" sqref="F2:F128">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3" t="s">
        <v>2</v>
      </c>
      <c r="B1" s="3" t="s">
        <v>1</v>
      </c>
      <c r="C1" s="3" t="s">
        <v>10</v>
      </c>
      <c r="D1" s="3" t="s">
        <v>13</v>
      </c>
      <c r="E1" s="3" t="s">
        <v>17</v>
      </c>
    </row>
    <row r="2">
      <c r="A2" s="5" t="s">
        <v>22</v>
      </c>
      <c r="B2" s="5" t="s">
        <v>24</v>
      </c>
      <c r="C2" s="5" t="s">
        <v>29</v>
      </c>
      <c r="D2" s="5">
        <v>43.0</v>
      </c>
      <c r="E2" s="5" t="s">
        <v>32</v>
      </c>
    </row>
    <row r="3">
      <c r="A3" s="5" t="s">
        <v>34</v>
      </c>
      <c r="B3" s="5" t="s">
        <v>35</v>
      </c>
      <c r="C3" s="5" t="s">
        <v>36</v>
      </c>
      <c r="D3" s="5">
        <v>34.0</v>
      </c>
      <c r="E3" s="5" t="s">
        <v>37</v>
      </c>
    </row>
    <row r="4">
      <c r="A4" s="5" t="s">
        <v>38</v>
      </c>
      <c r="B4" s="5" t="s">
        <v>39</v>
      </c>
      <c r="C4" s="5" t="s">
        <v>40</v>
      </c>
      <c r="D4" s="5">
        <v>30.0</v>
      </c>
      <c r="E4" s="5" t="s">
        <v>41</v>
      </c>
    </row>
    <row r="5">
      <c r="A5" s="5" t="s">
        <v>42</v>
      </c>
      <c r="B5" s="5" t="s">
        <v>43</v>
      </c>
      <c r="C5" s="5" t="s">
        <v>44</v>
      </c>
      <c r="D5" s="5">
        <v>20.0</v>
      </c>
      <c r="E5" s="5"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