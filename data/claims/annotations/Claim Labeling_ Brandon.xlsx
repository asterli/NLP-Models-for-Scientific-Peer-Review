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Labels!$A$1:$G$133</definedName>
  </definedNames>
  <calcPr/>
</workbook>
</file>

<file path=xl/sharedStrings.xml><?xml version="1.0" encoding="utf-8"?>
<sst xmlns="http://schemas.openxmlformats.org/spreadsheetml/2006/main" count="852" uniqueCount="243">
  <si>
    <t>paper_id</t>
  </si>
  <si>
    <t>pmcid</t>
  </si>
  <si>
    <t>Claim labeling: Brandon</t>
  </si>
  <si>
    <t>What to do</t>
  </si>
  <si>
    <t>1. Read each paper's sentences in order on the Labels tab (they are grouped by paper, in reading order).</t>
  </si>
  <si>
    <t>2. In the yellow 'label' column, pick CLAIM or BACKGROUND from the dropdown. Every sentence needs a label.</t>
  </si>
  <si>
    <t>sentence_id</t>
  </si>
  <si>
    <t>section</t>
  </si>
  <si>
    <t>3. Use 'note' for anything borderline, so we can discuss it. Don't change any other column.</t>
  </si>
  <si>
    <t>text</t>
  </si>
  <si>
    <t>4. Label on your own, without comparing with others. Some papers are labeled by two people on purpose.</t>
  </si>
  <si>
    <t>label</t>
  </si>
  <si>
    <t>note</t>
  </si>
  <si>
    <t>title</t>
  </si>
  <si>
    <t>5. Due Sunday (Oct 18). Send the file back as is (don't rename columns or re-sort).</t>
  </si>
  <si>
    <t>sentences</t>
  </si>
  <si>
    <t>doi:10.1177/29767342261444527</t>
  </si>
  <si>
    <t>link</t>
  </si>
  <si>
    <t>PMC13570708</t>
  </si>
  <si>
    <t>Rules (full guide: data/claims/claim_labeling_guide.md in the repo)</t>
  </si>
  <si>
    <t>s001</t>
  </si>
  <si>
    <t>abstract:background</t>
  </si>
  <si>
    <t>Managed alcohol programs (MAPs) are harm reduction services that provide regular, measured doses of beverage-grade alcohol alongside social and health services, aiming to reduce nonbeverage alcohol consumption and harms associated with excessive intoxication and withdrawal.</t>
  </si>
  <si>
    <t>CLAIM: the paper's own objective, contribution, finding, or conclusion (including implications of its findings).</t>
  </si>
  <si>
    <t>Impacts of a Scattered-Site Managed Alcohol Program for People With Alcohol Use Disorder in Halifax, Nova Scotia: A Mixed-Methods Study</t>
  </si>
  <si>
    <t>BACKGROUND: everything else, including prior work, motivation, gaps, and the study's own setup.</t>
  </si>
  <si>
    <t>https://doi.org/10.1177/29767342261444527</t>
  </si>
  <si>
    <t>NEW: descriptions of this study's design, setting, recruitment, or sample are BACKGROUND,</t>
  </si>
  <si>
    <t>PMC12314730</t>
  </si>
  <si>
    <t>unless the paper presents them as its contribution (e.g. first test in a particular population).</t>
  </si>
  <si>
    <t>doi:10.1001/jamanetworkopen.2025.24302</t>
  </si>
  <si>
    <t>Housing and Support Intervention and Mortality Among Homeless Adults With Mental Illnesses</t>
  </si>
  <si>
    <t>Example (how a filled row looks)</t>
  </si>
  <si>
    <t>https://doi.org/10.1001/jamanetworkopen.2025.24302</t>
  </si>
  <si>
    <t>text: This secondary analysis of a randomized clinical trial included 2255 homeless adults with mental illnesses.</t>
  </si>
  <si>
    <t>PMC8669521</t>
  </si>
  <si>
    <t>label: BACKGROUND    note: (empty, not borderline)</t>
  </si>
  <si>
    <t>doi:10.1001/jamanetworkopen.2021.38464</t>
  </si>
  <si>
    <t>Assessment of a Hotel-Based Protective Housing Program for Incidence of SARS-CoV-2 Infection and Management of Chronic Illness Among Persons Experiencing Homelessness</t>
  </si>
  <si>
    <t>https://doi.org/10.1001/jamanetworkopen.2021.38464</t>
  </si>
  <si>
    <t>Progress</t>
  </si>
  <si>
    <t>PMC12282963</t>
  </si>
  <si>
    <t>Sentences</t>
  </si>
  <si>
    <t>doi:10.1177/10780874251314838</t>
  </si>
  <si>
    <t>Housing First for Youth Who Experience Homelessness: A Systematic Review</t>
  </si>
  <si>
    <t>https://doi.org/10.1177/10780874251314838</t>
  </si>
  <si>
    <t>BACKGROUND</t>
  </si>
  <si>
    <t>s002</t>
  </si>
  <si>
    <t>Most MAPs are paired with supportive housing, which can be at a single building (“single-site”) or more uncommonly across multiple apartments (“scattered-site”).</t>
  </si>
  <si>
    <t>s003</t>
  </si>
  <si>
    <t>The North End Community Health Centre – Mobile Outreach Street Health (MOSH) in Halifax, Nova Scotia, established Atlantic Canada’s first MAP, using a scattered-site model, in April 2020 – during the COVID-19 pandemic.</t>
  </si>
  <si>
    <t>"First map in Atlantic Canada" could be novelty claim. However, it's describing the program, not contribution.</t>
  </si>
  <si>
    <t>s004</t>
  </si>
  <si>
    <t>We aimed to describe program participants, summarize outcomes, and understand stakeholder perceptions of program successes and challenges.</t>
  </si>
  <si>
    <t>CLAIM</t>
  </si>
  <si>
    <t>s005</t>
  </si>
  <si>
    <t>abstract:methods</t>
  </si>
  <si>
    <t>Parallel, mixed methods program evaluation.</t>
  </si>
  <si>
    <t>s006</t>
  </si>
  <si>
    <t>Quantitative arm involved retrospective review of weekly program assessments documenting presence or absence of outcomes (April 2020-December 2022).</t>
  </si>
  <si>
    <t>s007</t>
  </si>
  <si>
    <t>Qualitative arm included 4 focus groups with key stakeholders (May-June 2021).</t>
  </si>
  <si>
    <t>s008</t>
  </si>
  <si>
    <t>abstract:results</t>
  </si>
  <si>
    <t>Over the first 33 months, 38 people enrolled in MAP.</t>
  </si>
  <si>
    <t>Could go either way since the paper's goal was to describe participants</t>
  </si>
  <si>
    <t>s009</t>
  </si>
  <si>
    <t>At the time of our study, 9 had died and 9 left the program.</t>
  </si>
  <si>
    <t>same as 008</t>
  </si>
  <si>
    <t>s010</t>
  </si>
  <si>
    <t>Of the 20 remaining participants, 13 consented to chart review (92% male; age mean 46, SD 11 years) and 9 had weekly outcome data available.</t>
  </si>
  <si>
    <t>Regarding consent and data availability instead of an actual finding</t>
  </si>
  <si>
    <t>s011</t>
  </si>
  <si>
    <t>Comparing year 1 to year 2, participants had mean person-week prevalence of any nonbeverage alcohol consumption (eg, hand sanitizer): 9% and 3%; acute alcohol-related harms: 25% and 9%; and seizures: 4% and 1%.</t>
  </si>
  <si>
    <t>s012</t>
  </si>
  <si>
    <t>Mean person-week prevalence of out-of-program drinking was 34% in year 1 and 33% in year 2.</t>
  </si>
  <si>
    <t>s013</t>
  </si>
  <si>
    <t>Focus groups highlighted MAP improved participants’ health and decreased frequency of nonbeverage alcohol consumption, survival behaviors, and violence.</t>
  </si>
  <si>
    <t>Still blank</t>
  </si>
  <si>
    <t>s014</t>
  </si>
  <si>
    <t>Challenges included out-of-program drinking and lack of social programming.</t>
  </si>
  <si>
    <t>s015</t>
  </si>
  <si>
    <t>abstract:conclusions</t>
  </si>
  <si>
    <t>This scattered-site MAP may support positive health and social outcomes for people with severe alcohol use disorder.</t>
  </si>
  <si>
    <t>s016</t>
  </si>
  <si>
    <t>Identified program gaps can be explored to better meet participant needs and reduce out-of-program drinking.</t>
  </si>
  <si>
    <t>s017</t>
  </si>
  <si>
    <t>introduction</t>
  </si>
  <si>
    <t>Adults experiencing homelessness face disproportionate rates of chronic illness, trauma, mental illness, violence, and have higher rates of substance and alcohol use compared to the general population.[1]-[4]</t>
  </si>
  <si>
    <t>s018</t>
  </si>
  <si>
    <t>Within Canada, between 37% to 73% of adults experiencing homelessness engage in heavy episodic or daily drinking (more than 20 standard drinks per day), interfering with their ability to access and maintain housing.[1]-[5]</t>
  </si>
  <si>
    <t>s019</t>
  </si>
  <si>
    <t>People experiencing homelessness and alcohol use disorder face risks of alcohol-related injuries, exposure to extreme environmental elements, theft, or exploitation;[2],[4],[5] people with limited income may need to consume low-cost nonbeverage alcohol (NBA; eg, mouthwash; hand sanitizer) or to engage in theft to obtain alcohol.[4],[6],[7]</t>
  </si>
  <si>
    <t>s020</t>
  </si>
  <si>
    <t>Beyond individual harms, this results in substantial health and social costs, ambulance and emergency department utilization, hospitalizations, and frequent police encounters.[1],[3],[5],[7],[8]</t>
  </si>
  <si>
    <t>s021</t>
  </si>
  <si>
    <t>Heavy alcohol consumption is also associated with increased rates of mental illness, poor physical health, and chronic diseases,[1],[4]-[6] as well as alcohol-related harms including withdrawal, seizures, alcohol-related injuries, and alcohol-related mortality.[3]-[5],[7]</t>
  </si>
  <si>
    <t>s022</t>
  </si>
  <si>
    <t>As a result, people experiencing homelessness and alcohol use disorders are a priority population for equity-seeking health initiatives.</t>
  </si>
  <si>
    <t>s023</t>
  </si>
  <si>
    <t>Managed alcohol programs (MAPs) are harm reduction services for individuals with severe alcohol use disorder, particularly those experiencing homelessness.[2],[5],[9]-[13]</t>
  </si>
  <si>
    <t>s024</t>
  </si>
  <si>
    <t>MAPs provide participants with regular, measured doses of beverage-grade alcohol at scheduled dispensing intervals to prevent withdrawal, reduce binge drinking episodes and public intoxication, and decrease NBA consumption and alcohol-related harms.[1]-[3],[6],[8],[10],[14]</t>
  </si>
  <si>
    <t>s025</t>
  </si>
  <si>
    <t>They often provide housing and primary healthcare services, financial support, cultural programming, social services, and other programming.[2],[8]</t>
  </si>
  <si>
    <t>s026</t>
  </si>
  <si>
    <t>These programs operate using various models including at residential single-sites, day programs, hospital-based, shelter-based, scattered-site (eg, across multiple housing units), or a mix of multiple settings.</t>
  </si>
  <si>
    <t>s027</t>
  </si>
  <si>
    <t>MAP operational guidance documents were published for the province of British Columbia in 2020 [15] and nationally in Canada in 2023. [16]</t>
  </si>
  <si>
    <t>s028</t>
  </si>
  <si>
    <t>In recent years, there has been a rapid increase in the number of MAPs operating in Canada – many catalyzed by the COVID-19 pandemic.</t>
  </si>
  <si>
    <t>s029</t>
  </si>
  <si>
    <t>As of 2024, there were 44 MAPs in Canada operating within 8 provinces and 1 territory. [17]</t>
  </si>
  <si>
    <t>s030</t>
  </si>
  <si>
    <t>MAPs have expanded across Canada more quickly than other jurisdictions; we are aware of few MAPs in international locations, including 2 in USA; 3 in Australia; and 1 in Spain.[18]-[20]</t>
  </si>
  <si>
    <t>s031</t>
  </si>
  <si>
    <t>Limited uptake internationally may be due to several factors, including the need for further evidence evaluating different MAP models in different settings.</t>
  </si>
  <si>
    <t>s032</t>
  </si>
  <si>
    <t>Evidence from a variety of Canadian models suggests MAPs may reduce frequency of binge drinking and NBA consumption, frequency and severity of withdrawal symptoms, and incidence of alcohol-related harms.[5],[7],[8],[10],[17],[21]</t>
  </si>
  <si>
    <t>s033</t>
  </si>
  <si>
    <t>MAP participation is also associated with reduced police encounters.[3],[5],[7],[17],[18],[21]</t>
  </si>
  <si>
    <t>s034</t>
  </si>
  <si>
    <t>Long-term MAP participation (defined by one study as enrollment for more than 2 months), was associated with increased engagement in primary healthcare services. [10]</t>
  </si>
  <si>
    <t>s035</t>
  </si>
  <si>
    <t>MAPs are acceptable to participants, with residential-based models being viewed as dignified services that provide safety, increase perceived self-worth, and sense of control.[3],[4],[9],[12],[22]</t>
  </si>
  <si>
    <t>s036</t>
  </si>
  <si>
    <t>These programs also facilitate opportunities for participants to positively engage with their community, develop therapeutic relationships with healthcare professionals and staff, and build, maintain, and repair family and social relationships.[3],[4],[7],[9],[17],[21]</t>
  </si>
  <si>
    <t>s037</t>
  </si>
  <si>
    <t>Although an emerging evidence-base suggests MAPs are successful in supporting individuals with alcohol use disorder, there is especially limited evidence regarding “scattered-site” models of MAP, with outreach delivery of beverage-grade alcohol to multiple apartment or housing units (often with only 1-2 deliveries per day).</t>
  </si>
  <si>
    <t>s038</t>
  </si>
  <si>
    <t>We are aware of only 4 other MAPs (located within British Columbia and Saskatchewan, Canada) that included scattered-site deliveries, but no published evaluations of scattered-site models.[11],[13],[17]</t>
  </si>
  <si>
    <t>s039</t>
  </si>
  <si>
    <t>A recent scoping review specifically highlighted the need for more research on scattered-site MAP models. [11]</t>
  </si>
  <si>
    <t>s040</t>
  </si>
  <si>
    <t>In April 2020, the Mobile Outreach Street Health (MOSH) program in Halifax, Nova Scotia, Canada established a mixed model (scattered- and single-site) MAP on an emergency basis to support people with severe alcohol use disorder experiencing homelessness.</t>
  </si>
  <si>
    <t>s041</t>
  </si>
  <si>
    <t>This included providing MAP at both a supportive housing residential site and a scattered-site model delivering alcohol to participants’ independent residences and COVID isolation shelters in the community.</t>
  </si>
  <si>
    <t>s042</t>
  </si>
  <si>
    <t>This was established urgently during the first wave of the COVID-19 pandemic, in order to facilitate self-isolation and/or quarantine.[18],[22]</t>
  </si>
  <si>
    <t>s043</t>
  </si>
  <si>
    <t>It is among Canada’s first mixed-scattered site MAP models, and, at the time, there was no national guidance for scattered-site programs.</t>
  </si>
  <si>
    <t>"Among Canada's first" is framed like novelty. However, its regarding the program's history, not the study</t>
  </si>
  <si>
    <t>s044</t>
  </si>
  <si>
    <t>It has since expanded beyond its initial scope to continue to be able to support people experiencing homelessness and severe alcohol use disorder in Halifax.</t>
  </si>
  <si>
    <t>s045</t>
  </si>
  <si>
    <t>This evaluation serves to contribute to the emerging evidence-base regarding MAPs, address knowledge gaps surrounding scattered-site MAP delivery, and help inform future implementation of MAP models in other jurisdictions.</t>
  </si>
  <si>
    <t>s046</t>
  </si>
  <si>
    <t>In this study, we aimed to describe MAP participants; summarize program outcomes (ie, out-of-program drinking, NBA consumption, and acute-alcohol related harms including blackouts, falls, physical altercations, seizures, and withdrawal symptoms); and understand stakeholder perceptions of the MAP’s successes and challenges.</t>
  </si>
  <si>
    <t>Homelessness is an important risk factor for premature death, with individuals experiencing homelessness having substantially higher mortality rates than the general population.</t>
  </si>
  <si>
    <t>abstract:objective</t>
  </si>
  <si>
    <t>To assess the association of housing and support interventions with mortality among individuals experiencing homelessness and mental illnesses.</t>
  </si>
  <si>
    <t>This secondary analysis of a randomized clinical trial included 2255 homeless adults with mental illnesses.</t>
  </si>
  <si>
    <t>The study was conducted in 5 Canadian cities (Vancouver, Winnipeg, Toronto, Montreal, and Moncton).</t>
  </si>
  <si>
    <t>Recruitment took place from October 2009 to July 2011; mortality data were collected until March 30, 2019.</t>
  </si>
  <si>
    <t>Due to the complexity of accessing health administrative data, analyses were conducted and completed between February 2021 and December 2023.</t>
  </si>
  <si>
    <t>Participants were randomized to receive either the Housing First (HF) intervention, which provided immediate permanent, scattered-site housing and support through intensive case management or assertive community treatment to chronically homeless individuals, or treatment as usual (TAU).</t>
  </si>
  <si>
    <t>Mortality rate ratios were ascertained at each site using health administrative databases.</t>
  </si>
  <si>
    <t>Adjusted hazard ratios were computed using Cox proportional hazard survival models.</t>
  </si>
  <si>
    <t>Random-effects meta-analysis was used to calculate pooled effect sizes across sites.</t>
  </si>
  <si>
    <t>Of the 2255 total participants, 2108 (93.5%) were successfully linked with health administrative data; among them, 1434 (68.0%) were male, with a mean (SD) age of 40.6 (11.5) years.</t>
  </si>
  <si>
    <t>Sample demographics in the results section. Treated it like "who was in the study."</t>
  </si>
  <si>
    <t>Mortality rates were not different in the HF compared with TAU groups (pooled log mortality rate ratio, −0.07; 95% CI, −0.36 to 0.22).</t>
  </si>
  <si>
    <t>The pooled adjusted hazard ratio comparing mortality in the HF and TAU groups was 0.83 (95% CI, 0.43-1.22).</t>
  </si>
  <si>
    <t>In this secondary analysis of a randomized clinical trial, the HF intervention was not directly associated with mortality risk.</t>
  </si>
  <si>
    <t>Research is needed to determine whether adjunctive interventions could reduce mortality among homeless individuals with mental illnesses.</t>
  </si>
  <si>
    <t>"Research is needed" implies intended work. Counted it as a conclusion.</t>
  </si>
  <si>
    <t>Homelessness is a strong risk factor for premature death.</t>
  </si>
  <si>
    <t>Adults who experience homelessness have higher mortality rates than the general population, with mortality rate ratios ranging from 1.5 to 11.5,[1],[2],[3],[4],[5],[6],[7],[8],[9],[10] depending on age, gender, shelter status, and comorbidity levels.[4],[11],[12],[13]</t>
  </si>
  <si>
    <t>Homelessness exposes individuals to a number of adverse factors such as infections, extreme weather, substance misuse, and violence.[7],[10],[14],[15]</t>
  </si>
  <si>
    <t>Studies demonstrate a bimodal pattern of causes of death, with causes such as drug overdose, homicide, and suicide predominating among younger homeless adults, while heart disease and cancer are the leading causes among older homeless adults.[2],[5],[10],[11]</t>
  </si>
  <si>
    <t>These observations raise important questions about the potential effect of housing provision on all-cause mortality risks for people experiencing homelessness across the lifespan.</t>
  </si>
  <si>
    <t>Some observational studies have found that moving from homelessness to stable housing is associated with reduced mortality risks[16] compared with the general homeless population.[15]</t>
  </si>
  <si>
    <t>However, a randomized clinical trial of permanent supportive housing for 423 chronically homeless persons in Santa Clara County, California, found similarly high mortality rates in both treatment and control groups.[17]</t>
  </si>
  <si>
    <t>A French randomized clinical trial of a housing and support intervention for 703 homeless adults[18] implemented in 4 large cities in France—Paris, Marseille, Toulouse, and Lille—showed no difference in the overall 2-year mortality rates in the treatment and control groups.</t>
  </si>
  <si>
    <t>These randomized studies have 2 main limitations.</t>
  </si>
  <si>
    <t>First, because of the relatively small number of participants and relatively short duration of observation, these studies identified a small number of deaths and had inadequate statistical power to reach definitive conclusions.</t>
  </si>
  <si>
    <t>In addition, difficulty in ascertaining the vital status of participants increased the risk of bias, in particular due to potential undercounting of deaths among control participants.</t>
  </si>
  <si>
    <t>For example, in the French study, the number of participants with uncertain vital status was 9.5% in the control group but only 0.6% in the intervention group.[18]</t>
  </si>
  <si>
    <t>The objective of the present study was to determine the association of housing and support interventions with mortality among homeless adults with mental illnesses.</t>
  </si>
  <si>
    <t>The At Home/Chez Soi study randomized 2255 individuals experiencing homelessness and mental illnesses in 5 cities in Canada to receive either standard-care treatment as usual (TAU) or a Housing First (HF) intervention that provided immediate access to mostly scattered-site housing and supportive services.[19],[20]</t>
  </si>
  <si>
    <t>The vital status of participants was ascertained during follow-up periods ranging from 2 to 9 years after randomization using health administrative databases, and meta-analytic methods were used to pool data across study sites.</t>
  </si>
  <si>
    <t>Persons experiencing homelessness (PEH) are at higher risk for SARS-CoV-2 infection and severe illness due to COVID-19 because of a limited ability to physically distance and a higher burden of underlying health conditions.</t>
  </si>
  <si>
    <t>To describe and assess a hotel-based protective housing intervention to reduce incidence of SARS-CoV-2 infection among PEH in Chicago, Illinois, with increased risk of severe illness due to COVID-19.</t>
  </si>
  <si>
    <t>This retrospective cohort study analyzed PEH who were provided protective housing in individual hotel rooms in downtown Chicago during the COVID-19 pandemic from April 2 through September 3, 2020.</t>
  </si>
  <si>
    <t>Participants were PEH at increased risk for severe COVID-19, defined as (1) aged at least 60 years regardless of health conditions, (2) aged at least 55 years with any underlying health condition posing increased risk, or (3) aged less than 55 years with any underlying health condition posing substantially increased risk (eg, HIV/AIDS).</t>
  </si>
  <si>
    <t>Participants were housed in individual hotel rooms to reduce the risk of SARS-CoV-2 infection; on-site health care workers provided daily symptom monitoring, regular SARS-CoV-2 testing, and care for chronic health conditions.</t>
  </si>
  <si>
    <t>Additional on-site services included treatment of mental health and substance use disorders and social services.</t>
  </si>
  <si>
    <t>The main outcome measured was SARS-CoV-2 incidence, with SARS-Cov2 infection defined as a positive upper respiratory specimen using any polymerase chain reaction diagnostic assay authorized for emergency use by the Food and Drug Administration.</t>
  </si>
  <si>
    <t>Secondary outcomes were blood pressure control, glycemic control as measured by hemoglobin A1c, and housing placements at departure.</t>
  </si>
  <si>
    <t>Of 259 participants from 16 homeless shelters in Chicago, 104 (40.2%) were aged at least 65 years, 190 (73.4%) were male, 185 (71.4%) were non-Hispanic Black, and 49 (18.9%) were non-Hispanic White.</t>
  </si>
  <si>
    <t>Same reasoning as paper 2 s011</t>
  </si>
  <si>
    <t>There was an observed reduction in SARS-CoV-2 incidence during the study period among the protective housing cohort (54.7 per 1000 people [95% CI, 22.4-87.1 per 1000 people]) compared with citywide rates for PEH residing in shelters (137.1 per 1000 people [95% CI, 125.1-149.1 per 1000 people]; P = .001).</t>
  </si>
  <si>
    <t>There was also an adjusted change in systolic blood pressure at a rate of −5.7 mm Hg (95% CI, −9.3 to −2.1 mm Hg) and hemoglobin A1c at a rate of −1.4% (95% CI, −2.4% to −0.4%) compared with baseline.</t>
  </si>
  <si>
    <t>More than half of participants (51% [n = 132]) departed from the intervention to housing of some kind (eg, supportive housing).</t>
  </si>
  <si>
    <t>This cohort study found that protective housing was associated with a reduction in SARS-CoV-2 infection among high-risk PEH during the first wave of the COVID-19 pandemic in Chicago.</t>
  </si>
  <si>
    <t>These findings suggest that with appropriate wraparound supports (ie, multisector services to address complex needs), such housing interventions may reduce the risk of SARS-CoV-2 infection, improve noncommunicable disease control, and provide a pathway to permanent housing.</t>
  </si>
  <si>
    <t>Persons experiencing homelessness (PEH) are at increased risk of becoming infected with SARS-CoV-2 and developing COVID-19.</t>
  </si>
  <si>
    <t>Studies across the US and Europe have identified a high incidence of SARS-CoV-2 in PEH, particularly among those in congregate settings.[1],[2],[3],[4]</t>
  </si>
  <si>
    <t>In one early study conducted at a large homeless shelter in Boston,[1] more than one-third of residents (36%) tested positive for SARS-CoV-2, the majority (88%) of whom were asymptomatic at the time of testing.</t>
  </si>
  <si>
    <t>Difficulty maintaining physical distance, as well as challenges in obtaining personal protective equipment, can make SARS-CoV-2 transmission more likely among PEH.</t>
  </si>
  <si>
    <t>Importantly, PEH also have a higher prevalence of underlying health conditions that place them at higher risk for severe illness or death from COVID-19.</t>
  </si>
  <si>
    <t>The prevalence of hypertension is estimated to be 50% among PEH in the US,[5] with multiple studies documenting poor rates of blood pressure control.[6],[7],[8]</t>
  </si>
  <si>
    <t>Although prevalence of diabetes in PEH may be comparable with other low-income populations,[5] the likelihood of adequate glucose control is substantially lower[9] resulting in higher complication rates.[10]</t>
  </si>
  <si>
    <t>In April 2020, a hotel-based protective housing intervention was implemented in Chicago, Illinois, through a joint effort by the Chicago Departments of Public Health (CDPH), Family and Support Services (DFSS), and Housing (DOH), in conjunction with Lawndale Christian Health Center (LCHC), a federally qualified health center with longstanding experience in providing health care to PEH.</t>
  </si>
  <si>
    <t>Published assessments of interventions elsewhere have focused on widespread testing to interrupt transmission of COVID-19 in congregate settings,[4],[11] or isolation and quarantine measures for PEH who tested positive.[12]</t>
  </si>
  <si>
    <t>This Chicago model, in contrast, provided protective housing for PEH who were at risk for severe illness and death from COVID-19 owing to older age or underlying health conditions.</t>
  </si>
  <si>
    <t>Describing an intervention, not a result</t>
  </si>
  <si>
    <t>We are not aware of any published assessments of similar protective housing efforts.</t>
  </si>
  <si>
    <t>"not aware of any published assessments" is a gap or novelty statement. guide says that gaps are background</t>
  </si>
  <si>
    <t>In addition to individualized hotel rooms, on-site health care workers provided symptom monitoring, regular SARS-CoV-2 testing, and medical care for chronic health conditions.</t>
  </si>
  <si>
    <t>Other key services included meal delivery, treatment of mental health and substance use disorders (SUDs), as well as social services.</t>
  </si>
  <si>
    <t>Although hotel conversions to expand supportive housing existed before the pandemic, the COVID-19 pandemic provided an accelerated opportunity to pilot a model targeted to PEH with high-risk health conditions.</t>
  </si>
  <si>
    <t>The primary aim of this study was to describe Chicago’s hotel-based protective housing intervention and assess whether the intervention was associated with any differences in the incidence of SARS-CoV-2 infection among those participating in the intervention relative to the citywide population of sheltered PEH.</t>
  </si>
  <si>
    <t>Secondary aims were to assess change in high-risk health conditions during the study period, including hypertension and diabetes; describe treatment for mental health conditions and SUDs; and describe housing outcomes on departure from the intervention.</t>
  </si>
  <si>
    <t>abstract</t>
  </si>
  <si>
    <t>Housing First programs are widely used to house adults with histories of chronic homelessness.</t>
  </si>
  <si>
    <t>Recently, Housing First for Youth (HF4Y) emerged as a targeted response to youth homelessness and is presently cited as the ideal model; however, researchers have yet to synthesize the evidence on which this claim is made.</t>
  </si>
  <si>
    <t>Through a systematic review of literature, the present authors fill this gap by offering a thematic synthesis of available peer-reviewed evidence on the impacts of HF4Y on a variety of outcomes for youth who experience homelessness.</t>
  </si>
  <si>
    <t>Five databases were searched from inception to April 2023 and reference lists of relevant articles were hand searched for additional studies.</t>
  </si>
  <si>
    <t>This search finds seven studies that specifically measure outcomes associated with HF4Y enrollment.</t>
  </si>
  <si>
    <t>"Finds seven studies" is a result, but a descriptive one</t>
  </si>
  <si>
    <t>Findings indicate that HF4Y can improve housing security, but additional research is needed to develop a more robust evidence base.</t>
  </si>
  <si>
    <t>There is a need for longitudinal studies, randomized controlled trials, and rich qualitative studies of HF4Y.</t>
  </si>
  <si>
    <t>Homelessness is a persistent public health and human rights concern (Otto and Lynch 2004; Panter-Brick 2002).</t>
  </si>
  <si>
    <t>Youth who experience homelessness (YEH) are at increased risk of social, psychological, physical, educational, economic, and wellbeing challenges (Gaetz et al. 2016; Kull et al. 2019; Martin et al. 2006; Martijn and Sharpe 2006).</t>
  </si>
  <si>
    <t>They are more likely than housed youth to be victims of crime, exploitation, and abuse (Gaetz 2004; Madden et al. 2021; Middleton et al. 2018; Murphy 2016; Pilnik 2018).</t>
  </si>
  <si>
    <t>The longer youth remain unhoused, the more likely they are to experience these challenges (Rice, Stein, and Milburn 2008; Saade and Winkelman 2002), which indicates that there is an urgent need to assist YEH with housing.</t>
  </si>
  <si>
    <t>Housing First programs are used widely across North America to provide expedited access to subsidized housing for adults who experience homelessness.</t>
  </si>
  <si>
    <t>These programs provide rapid access to housing that is separate from one's ability and readiness to access services for mental health, substance use, and education or employment, and evidence indicates that Housing First increases housing stability in adults (Woodhall-Melnik and Dunn 2016).</t>
  </si>
  <si>
    <t>While Housing First is described as an evidence-based approach for housing youth (Gaetz 2014), to date, there have been insufficient efforts to synthesize the evidence used to assert this claim (Youngbloom, Farnish, and Schoenfeld 2021).</t>
  </si>
  <si>
    <t>This gap is problematic as youth, as elaborated on elsewhere in this article, have unique needs that are not always best served by programs designed for adults (Brakenhoff et al. 2022).</t>
  </si>
  <si>
    <t>While the authors of this article are not the first to recognize this gap, as evidenced by growing attention to Housing First for Youth (HF4Y) data in the international arena and the publication of protocols for studying HF4Y in Canada (Gaetz et al. 2023), there remains a need to review the literature on HF4Y to better understand the efficacy of the approach.</t>
  </si>
  <si>
    <t>The objective of this article is to assess the current state of knowledge on outcomes associated with participation in H4FY.</t>
  </si>
  <si>
    <t>Hence, this article answers the question: what broadly defined outcomes are found for youth participation in HF4Y?</t>
  </si>
  <si>
    <t>As this model is referred to as best practice, the authors seek to determine if the evidence is robust enough to make this claim when applied to the case of YEH.</t>
  </si>
  <si>
    <t>The secondary goal of this article is to indicate gaps in research on HF4Y that can be filled with future scholarship.</t>
  </si>
  <si>
    <t>Although this study aims to include any articles in English and French, regardless of geography, the studies uncovered are from the United States and Canada.</t>
  </si>
  <si>
    <t>First half is scope or setup, the second half is kind of a finding.</t>
  </si>
  <si>
    <t>This is not surprising given that Housing First emerged in North America.</t>
  </si>
  <si>
    <t>Hence, the background to this article focuses heavily on homelessness research and governance in the Canadian and American contexts.</t>
  </si>
  <si>
    <t>With this context in mind, this article now turns to a discussion of housing and homelessness in North America and then provides background on youth homelessness and Housing First.</t>
  </si>
  <si>
    <t>This background is followed by an overview of the methods used for the systematic literature review and its findings.</t>
  </si>
  <si>
    <t>This article concludes with a discussion of the findings and a brief conclusion.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</si>
</sst>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1" numFmtId="0" xfId="0" applyAlignment="1" applyBorder="1" applyFill="1" applyFont="1">
      <alignment shrinkToFit="0" vertical="top" wrapText="1"/>
    </xf>
    <xf borderId="0" fillId="0" fontId="2" numFmtId="0" xfId="0" applyAlignment="1" applyFont="1">
      <alignment readingOrder="0" shrinkToFit="0" vertical="bottom" wrapText="0"/>
    </xf>
    <xf borderId="0" fillId="0" fontId="2" numFmtId="0" xfId="0" applyAlignment="1" applyFont="1">
      <alignment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2</v>
      </c>
    </row>
    <row r="2">
      <c r="A2" s="2"/>
    </row>
    <row r="3">
      <c r="A3" s="1" t="s">
        <v>3</v>
      </c>
    </row>
    <row r="4">
      <c r="A4" s="2" t="s">
        <v>4</v>
      </c>
    </row>
    <row r="5">
      <c r="A5" s="2" t="s">
        <v>5</v>
      </c>
    </row>
    <row r="6">
      <c r="A6" s="2" t="s">
        <v>8</v>
      </c>
    </row>
    <row r="7">
      <c r="A7" s="2" t="s">
        <v>10</v>
      </c>
    </row>
    <row r="8">
      <c r="A8" s="4" t="s">
        <v>14</v>
      </c>
    </row>
    <row r="9">
      <c r="A9" s="2"/>
    </row>
    <row r="10">
      <c r="A10" s="1" t="s">
        <v>19</v>
      </c>
    </row>
    <row r="11">
      <c r="A11" s="2" t="s">
        <v>23</v>
      </c>
    </row>
    <row r="12">
      <c r="A12" s="2" t="s">
        <v>25</v>
      </c>
    </row>
    <row r="13">
      <c r="A13" s="2" t="s">
        <v>27</v>
      </c>
    </row>
    <row r="14">
      <c r="A14" s="2" t="s">
        <v>29</v>
      </c>
    </row>
    <row r="15">
      <c r="A15" s="2"/>
    </row>
    <row r="16">
      <c r="A16" s="1" t="s">
        <v>32</v>
      </c>
    </row>
    <row r="17">
      <c r="A17" s="2" t="s">
        <v>34</v>
      </c>
    </row>
    <row r="18">
      <c r="A18" s="2" t="s">
        <v>36</v>
      </c>
    </row>
    <row r="19">
      <c r="A19" s="2"/>
    </row>
    <row r="20">
      <c r="A20" s="1" t="s">
        <v>40</v>
      </c>
    </row>
    <row r="21" ht="15.75" customHeight="1">
      <c r="A21" s="2" t="s">
        <v>42</v>
      </c>
      <c r="B21" s="2">
        <f>ROWS(Labels!F2:F133)</f>
        <v>132</v>
      </c>
    </row>
    <row r="22" ht="15.75" customHeight="1">
      <c r="A22" s="2" t="s">
        <v>54</v>
      </c>
      <c r="B22" s="2">
        <f>COUNTIF(Labels!F2:F133,"CLAIM")</f>
        <v>33</v>
      </c>
    </row>
    <row r="23" ht="15.75" customHeight="1">
      <c r="A23" s="2" t="s">
        <v>46</v>
      </c>
      <c r="B23" s="2">
        <f>COUNTIF(Labels!F2:F133,"BACKGROUND")</f>
        <v>99</v>
      </c>
    </row>
    <row r="24" ht="15.75" customHeight="1">
      <c r="A24" s="2" t="s">
        <v>78</v>
      </c>
      <c r="B24" s="2">
        <f>COUNTBLANK(Labels!F2:F133)</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3.0"/>
    <col customWidth="1" min="3" max="3" width="11.0"/>
    <col customWidth="1" min="4" max="4" width="20.0"/>
    <col customWidth="1" min="5" max="5" width="90.0"/>
    <col customWidth="1" min="6" max="6" width="14.0"/>
    <col customWidth="1" min="7" max="7" width="40.0"/>
    <col customWidth="1" min="8" max="26" width="8.71"/>
  </cols>
  <sheetData>
    <row r="1">
      <c r="A1" s="3" t="s">
        <v>0</v>
      </c>
      <c r="B1" s="3" t="s">
        <v>1</v>
      </c>
      <c r="C1" s="3" t="s">
        <v>6</v>
      </c>
      <c r="D1" s="3" t="s">
        <v>7</v>
      </c>
      <c r="E1" s="3" t="s">
        <v>9</v>
      </c>
      <c r="F1" s="3" t="s">
        <v>11</v>
      </c>
      <c r="G1" s="3" t="s">
        <v>12</v>
      </c>
    </row>
    <row r="2">
      <c r="A2" s="5" t="s">
        <v>16</v>
      </c>
      <c r="B2" s="5" t="s">
        <v>18</v>
      </c>
      <c r="C2" s="5" t="s">
        <v>20</v>
      </c>
      <c r="D2" s="5" t="s">
        <v>21</v>
      </c>
      <c r="E2" s="5" t="s">
        <v>22</v>
      </c>
      <c r="F2" s="6" t="s">
        <v>46</v>
      </c>
      <c r="G2" s="7"/>
    </row>
    <row r="3">
      <c r="A3" s="5" t="s">
        <v>16</v>
      </c>
      <c r="B3" s="5" t="s">
        <v>18</v>
      </c>
      <c r="C3" s="5" t="s">
        <v>47</v>
      </c>
      <c r="D3" s="5" t="s">
        <v>21</v>
      </c>
      <c r="E3" s="5" t="s">
        <v>48</v>
      </c>
      <c r="F3" s="6" t="s">
        <v>46</v>
      </c>
      <c r="G3" s="7"/>
    </row>
    <row r="4">
      <c r="A4" s="5" t="s">
        <v>16</v>
      </c>
      <c r="B4" s="5" t="s">
        <v>18</v>
      </c>
      <c r="C4" s="5" t="s">
        <v>49</v>
      </c>
      <c r="D4" s="5" t="s">
        <v>21</v>
      </c>
      <c r="E4" s="5" t="s">
        <v>50</v>
      </c>
      <c r="F4" s="6" t="s">
        <v>46</v>
      </c>
      <c r="G4" s="6" t="s">
        <v>51</v>
      </c>
    </row>
    <row r="5">
      <c r="A5" s="5" t="s">
        <v>16</v>
      </c>
      <c r="B5" s="5" t="s">
        <v>18</v>
      </c>
      <c r="C5" s="5" t="s">
        <v>52</v>
      </c>
      <c r="D5" s="5" t="s">
        <v>21</v>
      </c>
      <c r="E5" s="5" t="s">
        <v>53</v>
      </c>
      <c r="F5" s="6" t="s">
        <v>54</v>
      </c>
      <c r="G5" s="7"/>
    </row>
    <row r="6">
      <c r="A6" s="5" t="s">
        <v>16</v>
      </c>
      <c r="B6" s="5" t="s">
        <v>18</v>
      </c>
      <c r="C6" s="5" t="s">
        <v>55</v>
      </c>
      <c r="D6" s="5" t="s">
        <v>56</v>
      </c>
      <c r="E6" s="5" t="s">
        <v>57</v>
      </c>
      <c r="F6" s="6" t="s">
        <v>46</v>
      </c>
      <c r="G6" s="7"/>
    </row>
    <row r="7">
      <c r="A7" s="5" t="s">
        <v>16</v>
      </c>
      <c r="B7" s="5" t="s">
        <v>18</v>
      </c>
      <c r="C7" s="5" t="s">
        <v>58</v>
      </c>
      <c r="D7" s="5" t="s">
        <v>56</v>
      </c>
      <c r="E7" s="5" t="s">
        <v>59</v>
      </c>
      <c r="F7" s="6" t="s">
        <v>46</v>
      </c>
      <c r="G7" s="7"/>
    </row>
    <row r="8">
      <c r="A8" s="5" t="s">
        <v>16</v>
      </c>
      <c r="B8" s="5" t="s">
        <v>18</v>
      </c>
      <c r="C8" s="5" t="s">
        <v>60</v>
      </c>
      <c r="D8" s="5" t="s">
        <v>56</v>
      </c>
      <c r="E8" s="5" t="s">
        <v>61</v>
      </c>
      <c r="F8" s="6" t="s">
        <v>46</v>
      </c>
      <c r="G8" s="7"/>
    </row>
    <row r="9">
      <c r="A9" s="5" t="s">
        <v>16</v>
      </c>
      <c r="B9" s="5" t="s">
        <v>18</v>
      </c>
      <c r="C9" s="5" t="s">
        <v>62</v>
      </c>
      <c r="D9" s="5" t="s">
        <v>63</v>
      </c>
      <c r="E9" s="5" t="s">
        <v>64</v>
      </c>
      <c r="F9" s="6" t="s">
        <v>54</v>
      </c>
      <c r="G9" s="6" t="s">
        <v>65</v>
      </c>
    </row>
    <row r="10">
      <c r="A10" s="5" t="s">
        <v>16</v>
      </c>
      <c r="B10" s="5" t="s">
        <v>18</v>
      </c>
      <c r="C10" s="5" t="s">
        <v>66</v>
      </c>
      <c r="D10" s="5" t="s">
        <v>63</v>
      </c>
      <c r="E10" s="5" t="s">
        <v>67</v>
      </c>
      <c r="F10" s="6" t="s">
        <v>54</v>
      </c>
      <c r="G10" s="6" t="s">
        <v>68</v>
      </c>
    </row>
    <row r="11">
      <c r="A11" s="5" t="s">
        <v>16</v>
      </c>
      <c r="B11" s="5" t="s">
        <v>18</v>
      </c>
      <c r="C11" s="5" t="s">
        <v>69</v>
      </c>
      <c r="D11" s="5" t="s">
        <v>63</v>
      </c>
      <c r="E11" s="5" t="s">
        <v>70</v>
      </c>
      <c r="F11" s="6" t="s">
        <v>46</v>
      </c>
      <c r="G11" s="6" t="s">
        <v>71</v>
      </c>
    </row>
    <row r="12">
      <c r="A12" s="5" t="s">
        <v>16</v>
      </c>
      <c r="B12" s="5" t="s">
        <v>18</v>
      </c>
      <c r="C12" s="5" t="s">
        <v>72</v>
      </c>
      <c r="D12" s="5" t="s">
        <v>63</v>
      </c>
      <c r="E12" s="5" t="s">
        <v>73</v>
      </c>
      <c r="F12" s="6" t="s">
        <v>54</v>
      </c>
      <c r="G12" s="6"/>
    </row>
    <row r="13">
      <c r="A13" s="5" t="s">
        <v>16</v>
      </c>
      <c r="B13" s="5" t="s">
        <v>18</v>
      </c>
      <c r="C13" s="5" t="s">
        <v>74</v>
      </c>
      <c r="D13" s="5" t="s">
        <v>63</v>
      </c>
      <c r="E13" s="5" t="s">
        <v>75</v>
      </c>
      <c r="F13" s="6" t="s">
        <v>54</v>
      </c>
      <c r="G13" s="7"/>
    </row>
    <row r="14">
      <c r="A14" s="5" t="s">
        <v>16</v>
      </c>
      <c r="B14" s="5" t="s">
        <v>18</v>
      </c>
      <c r="C14" s="5" t="s">
        <v>76</v>
      </c>
      <c r="D14" s="5" t="s">
        <v>63</v>
      </c>
      <c r="E14" s="5" t="s">
        <v>77</v>
      </c>
      <c r="F14" s="6" t="s">
        <v>54</v>
      </c>
      <c r="G14" s="7"/>
    </row>
    <row r="15">
      <c r="A15" s="5" t="s">
        <v>16</v>
      </c>
      <c r="B15" s="5" t="s">
        <v>18</v>
      </c>
      <c r="C15" s="5" t="s">
        <v>79</v>
      </c>
      <c r="D15" s="5" t="s">
        <v>63</v>
      </c>
      <c r="E15" s="5" t="s">
        <v>80</v>
      </c>
      <c r="F15" s="6" t="s">
        <v>54</v>
      </c>
      <c r="G15" s="7"/>
    </row>
    <row r="16">
      <c r="A16" s="5" t="s">
        <v>16</v>
      </c>
      <c r="B16" s="5" t="s">
        <v>18</v>
      </c>
      <c r="C16" s="5" t="s">
        <v>81</v>
      </c>
      <c r="D16" s="5" t="s">
        <v>82</v>
      </c>
      <c r="E16" s="5" t="s">
        <v>83</v>
      </c>
      <c r="F16" s="6" t="s">
        <v>54</v>
      </c>
      <c r="G16" s="7"/>
    </row>
    <row r="17">
      <c r="A17" s="5" t="s">
        <v>16</v>
      </c>
      <c r="B17" s="5" t="s">
        <v>18</v>
      </c>
      <c r="C17" s="5" t="s">
        <v>84</v>
      </c>
      <c r="D17" s="5" t="s">
        <v>82</v>
      </c>
      <c r="E17" s="5" t="s">
        <v>85</v>
      </c>
      <c r="F17" s="6" t="s">
        <v>54</v>
      </c>
      <c r="G17" s="7"/>
    </row>
    <row r="18">
      <c r="A18" s="5" t="s">
        <v>16</v>
      </c>
      <c r="B18" s="5" t="s">
        <v>18</v>
      </c>
      <c r="C18" s="5" t="s">
        <v>86</v>
      </c>
      <c r="D18" s="5" t="s">
        <v>87</v>
      </c>
      <c r="E18" s="5" t="s">
        <v>88</v>
      </c>
      <c r="F18" s="6" t="s">
        <v>46</v>
      </c>
      <c r="G18" s="7"/>
    </row>
    <row r="19">
      <c r="A19" s="5" t="s">
        <v>16</v>
      </c>
      <c r="B19" s="5" t="s">
        <v>18</v>
      </c>
      <c r="C19" s="5" t="s">
        <v>89</v>
      </c>
      <c r="D19" s="5" t="s">
        <v>87</v>
      </c>
      <c r="E19" s="5" t="s">
        <v>90</v>
      </c>
      <c r="F19" s="6" t="s">
        <v>46</v>
      </c>
      <c r="G19" s="7"/>
    </row>
    <row r="20">
      <c r="A20" s="5" t="s">
        <v>16</v>
      </c>
      <c r="B20" s="5" t="s">
        <v>18</v>
      </c>
      <c r="C20" s="5" t="s">
        <v>91</v>
      </c>
      <c r="D20" s="5" t="s">
        <v>87</v>
      </c>
      <c r="E20" s="5" t="s">
        <v>92</v>
      </c>
      <c r="F20" s="6" t="s">
        <v>46</v>
      </c>
      <c r="G20" s="7"/>
    </row>
    <row r="21" ht="15.75" customHeight="1">
      <c r="A21" s="5" t="s">
        <v>16</v>
      </c>
      <c r="B21" s="5" t="s">
        <v>18</v>
      </c>
      <c r="C21" s="5" t="s">
        <v>93</v>
      </c>
      <c r="D21" s="5" t="s">
        <v>87</v>
      </c>
      <c r="E21" s="5" t="s">
        <v>94</v>
      </c>
      <c r="F21" s="6" t="s">
        <v>46</v>
      </c>
      <c r="G21" s="7"/>
    </row>
    <row r="22" ht="15.75" customHeight="1">
      <c r="A22" s="5" t="s">
        <v>16</v>
      </c>
      <c r="B22" s="5" t="s">
        <v>18</v>
      </c>
      <c r="C22" s="5" t="s">
        <v>95</v>
      </c>
      <c r="D22" s="5" t="s">
        <v>87</v>
      </c>
      <c r="E22" s="5" t="s">
        <v>96</v>
      </c>
      <c r="F22" s="6" t="s">
        <v>46</v>
      </c>
      <c r="G22" s="7"/>
    </row>
    <row r="23" ht="15.75" customHeight="1">
      <c r="A23" s="5" t="s">
        <v>16</v>
      </c>
      <c r="B23" s="5" t="s">
        <v>18</v>
      </c>
      <c r="C23" s="5" t="s">
        <v>97</v>
      </c>
      <c r="D23" s="5" t="s">
        <v>87</v>
      </c>
      <c r="E23" s="5" t="s">
        <v>98</v>
      </c>
      <c r="F23" s="6" t="s">
        <v>46</v>
      </c>
      <c r="G23" s="7"/>
    </row>
    <row r="24" ht="15.75" customHeight="1">
      <c r="A24" s="5" t="s">
        <v>16</v>
      </c>
      <c r="B24" s="5" t="s">
        <v>18</v>
      </c>
      <c r="C24" s="5" t="s">
        <v>99</v>
      </c>
      <c r="D24" s="5" t="s">
        <v>87</v>
      </c>
      <c r="E24" s="5" t="s">
        <v>100</v>
      </c>
      <c r="F24" s="6" t="s">
        <v>46</v>
      </c>
      <c r="G24" s="7"/>
    </row>
    <row r="25" ht="15.75" customHeight="1">
      <c r="A25" s="5" t="s">
        <v>16</v>
      </c>
      <c r="B25" s="5" t="s">
        <v>18</v>
      </c>
      <c r="C25" s="5" t="s">
        <v>101</v>
      </c>
      <c r="D25" s="5" t="s">
        <v>87</v>
      </c>
      <c r="E25" s="5" t="s">
        <v>102</v>
      </c>
      <c r="F25" s="6" t="s">
        <v>46</v>
      </c>
      <c r="G25" s="7"/>
    </row>
    <row r="26" ht="15.75" customHeight="1">
      <c r="A26" s="5" t="s">
        <v>16</v>
      </c>
      <c r="B26" s="5" t="s">
        <v>18</v>
      </c>
      <c r="C26" s="5" t="s">
        <v>103</v>
      </c>
      <c r="D26" s="5" t="s">
        <v>87</v>
      </c>
      <c r="E26" s="5" t="s">
        <v>104</v>
      </c>
      <c r="F26" s="6" t="s">
        <v>46</v>
      </c>
      <c r="G26" s="7"/>
    </row>
    <row r="27" ht="15.75" customHeight="1">
      <c r="A27" s="5" t="s">
        <v>16</v>
      </c>
      <c r="B27" s="5" t="s">
        <v>18</v>
      </c>
      <c r="C27" s="5" t="s">
        <v>105</v>
      </c>
      <c r="D27" s="5" t="s">
        <v>87</v>
      </c>
      <c r="E27" s="5" t="s">
        <v>106</v>
      </c>
      <c r="F27" s="6" t="s">
        <v>46</v>
      </c>
      <c r="G27" s="7"/>
    </row>
    <row r="28" ht="15.75" customHeight="1">
      <c r="A28" s="5" t="s">
        <v>16</v>
      </c>
      <c r="B28" s="5" t="s">
        <v>18</v>
      </c>
      <c r="C28" s="5" t="s">
        <v>107</v>
      </c>
      <c r="D28" s="5" t="s">
        <v>87</v>
      </c>
      <c r="E28" s="5" t="s">
        <v>108</v>
      </c>
      <c r="F28" s="6" t="s">
        <v>46</v>
      </c>
      <c r="G28" s="7"/>
    </row>
    <row r="29" ht="15.75" customHeight="1">
      <c r="A29" s="5" t="s">
        <v>16</v>
      </c>
      <c r="B29" s="5" t="s">
        <v>18</v>
      </c>
      <c r="C29" s="5" t="s">
        <v>109</v>
      </c>
      <c r="D29" s="5" t="s">
        <v>87</v>
      </c>
      <c r="E29" s="5" t="s">
        <v>110</v>
      </c>
      <c r="F29" s="6" t="s">
        <v>46</v>
      </c>
      <c r="G29" s="7"/>
    </row>
    <row r="30" ht="15.75" customHeight="1">
      <c r="A30" s="5" t="s">
        <v>16</v>
      </c>
      <c r="B30" s="5" t="s">
        <v>18</v>
      </c>
      <c r="C30" s="5" t="s">
        <v>111</v>
      </c>
      <c r="D30" s="5" t="s">
        <v>87</v>
      </c>
      <c r="E30" s="5" t="s">
        <v>112</v>
      </c>
      <c r="F30" s="6" t="s">
        <v>46</v>
      </c>
      <c r="G30" s="7"/>
    </row>
    <row r="31" ht="15.75" customHeight="1">
      <c r="A31" s="5" t="s">
        <v>16</v>
      </c>
      <c r="B31" s="5" t="s">
        <v>18</v>
      </c>
      <c r="C31" s="5" t="s">
        <v>113</v>
      </c>
      <c r="D31" s="5" t="s">
        <v>87</v>
      </c>
      <c r="E31" s="5" t="s">
        <v>114</v>
      </c>
      <c r="F31" s="6" t="s">
        <v>46</v>
      </c>
      <c r="G31" s="7"/>
    </row>
    <row r="32" ht="15.75" customHeight="1">
      <c r="A32" s="5" t="s">
        <v>16</v>
      </c>
      <c r="B32" s="5" t="s">
        <v>18</v>
      </c>
      <c r="C32" s="5" t="s">
        <v>115</v>
      </c>
      <c r="D32" s="5" t="s">
        <v>87</v>
      </c>
      <c r="E32" s="5" t="s">
        <v>116</v>
      </c>
      <c r="F32" s="6" t="s">
        <v>46</v>
      </c>
      <c r="G32" s="7"/>
    </row>
    <row r="33" ht="15.75" customHeight="1">
      <c r="A33" s="5" t="s">
        <v>16</v>
      </c>
      <c r="B33" s="5" t="s">
        <v>18</v>
      </c>
      <c r="C33" s="5" t="s">
        <v>117</v>
      </c>
      <c r="D33" s="5" t="s">
        <v>87</v>
      </c>
      <c r="E33" s="5" t="s">
        <v>118</v>
      </c>
      <c r="F33" s="6" t="s">
        <v>46</v>
      </c>
      <c r="G33" s="7"/>
    </row>
    <row r="34" ht="15.75" customHeight="1">
      <c r="A34" s="5" t="s">
        <v>16</v>
      </c>
      <c r="B34" s="5" t="s">
        <v>18</v>
      </c>
      <c r="C34" s="5" t="s">
        <v>119</v>
      </c>
      <c r="D34" s="5" t="s">
        <v>87</v>
      </c>
      <c r="E34" s="5" t="s">
        <v>120</v>
      </c>
      <c r="F34" s="6" t="s">
        <v>46</v>
      </c>
      <c r="G34" s="7"/>
    </row>
    <row r="35" ht="15.75" customHeight="1">
      <c r="A35" s="5" t="s">
        <v>16</v>
      </c>
      <c r="B35" s="5" t="s">
        <v>18</v>
      </c>
      <c r="C35" s="5" t="s">
        <v>121</v>
      </c>
      <c r="D35" s="5" t="s">
        <v>87</v>
      </c>
      <c r="E35" s="5" t="s">
        <v>122</v>
      </c>
      <c r="F35" s="6" t="s">
        <v>46</v>
      </c>
      <c r="G35" s="7"/>
    </row>
    <row r="36" ht="15.75" customHeight="1">
      <c r="A36" s="5" t="s">
        <v>16</v>
      </c>
      <c r="B36" s="5" t="s">
        <v>18</v>
      </c>
      <c r="C36" s="5" t="s">
        <v>123</v>
      </c>
      <c r="D36" s="5" t="s">
        <v>87</v>
      </c>
      <c r="E36" s="5" t="s">
        <v>124</v>
      </c>
      <c r="F36" s="6" t="s">
        <v>46</v>
      </c>
      <c r="G36" s="7"/>
    </row>
    <row r="37" ht="15.75" customHeight="1">
      <c r="A37" s="5" t="s">
        <v>16</v>
      </c>
      <c r="B37" s="5" t="s">
        <v>18</v>
      </c>
      <c r="C37" s="5" t="s">
        <v>125</v>
      </c>
      <c r="D37" s="5" t="s">
        <v>87</v>
      </c>
      <c r="E37" s="5" t="s">
        <v>126</v>
      </c>
      <c r="F37" s="6" t="s">
        <v>46</v>
      </c>
      <c r="G37" s="7"/>
    </row>
    <row r="38" ht="15.75" customHeight="1">
      <c r="A38" s="5" t="s">
        <v>16</v>
      </c>
      <c r="B38" s="5" t="s">
        <v>18</v>
      </c>
      <c r="C38" s="5" t="s">
        <v>127</v>
      </c>
      <c r="D38" s="5" t="s">
        <v>87</v>
      </c>
      <c r="E38" s="5" t="s">
        <v>128</v>
      </c>
      <c r="F38" s="6" t="s">
        <v>46</v>
      </c>
      <c r="G38" s="7"/>
    </row>
    <row r="39" ht="15.75" customHeight="1">
      <c r="A39" s="5" t="s">
        <v>16</v>
      </c>
      <c r="B39" s="5" t="s">
        <v>18</v>
      </c>
      <c r="C39" s="5" t="s">
        <v>129</v>
      </c>
      <c r="D39" s="5" t="s">
        <v>87</v>
      </c>
      <c r="E39" s="5" t="s">
        <v>130</v>
      </c>
      <c r="F39" s="6" t="s">
        <v>46</v>
      </c>
      <c r="G39" s="7"/>
    </row>
    <row r="40" ht="15.75" customHeight="1">
      <c r="A40" s="5" t="s">
        <v>16</v>
      </c>
      <c r="B40" s="5" t="s">
        <v>18</v>
      </c>
      <c r="C40" s="5" t="s">
        <v>131</v>
      </c>
      <c r="D40" s="5" t="s">
        <v>87</v>
      </c>
      <c r="E40" s="5" t="s">
        <v>132</v>
      </c>
      <c r="F40" s="6" t="s">
        <v>46</v>
      </c>
      <c r="G40" s="7"/>
    </row>
    <row r="41" ht="15.75" customHeight="1">
      <c r="A41" s="5" t="s">
        <v>16</v>
      </c>
      <c r="B41" s="5" t="s">
        <v>18</v>
      </c>
      <c r="C41" s="5" t="s">
        <v>133</v>
      </c>
      <c r="D41" s="5" t="s">
        <v>87</v>
      </c>
      <c r="E41" s="5" t="s">
        <v>134</v>
      </c>
      <c r="F41" s="6" t="s">
        <v>46</v>
      </c>
      <c r="G41" s="7"/>
    </row>
    <row r="42" ht="15.75" customHeight="1">
      <c r="A42" s="5" t="s">
        <v>16</v>
      </c>
      <c r="B42" s="5" t="s">
        <v>18</v>
      </c>
      <c r="C42" s="5" t="s">
        <v>135</v>
      </c>
      <c r="D42" s="5" t="s">
        <v>87</v>
      </c>
      <c r="E42" s="5" t="s">
        <v>136</v>
      </c>
      <c r="F42" s="6" t="s">
        <v>46</v>
      </c>
      <c r="G42" s="7"/>
    </row>
    <row r="43" ht="15.75" customHeight="1">
      <c r="A43" s="5" t="s">
        <v>16</v>
      </c>
      <c r="B43" s="5" t="s">
        <v>18</v>
      </c>
      <c r="C43" s="5" t="s">
        <v>137</v>
      </c>
      <c r="D43" s="5" t="s">
        <v>87</v>
      </c>
      <c r="E43" s="5" t="s">
        <v>138</v>
      </c>
      <c r="F43" s="6" t="s">
        <v>46</v>
      </c>
      <c r="G43" s="6"/>
    </row>
    <row r="44" ht="15.75" customHeight="1">
      <c r="A44" s="5" t="s">
        <v>16</v>
      </c>
      <c r="B44" s="5" t="s">
        <v>18</v>
      </c>
      <c r="C44" s="5" t="s">
        <v>139</v>
      </c>
      <c r="D44" s="5" t="s">
        <v>87</v>
      </c>
      <c r="E44" s="5" t="s">
        <v>140</v>
      </c>
      <c r="F44" s="6" t="s">
        <v>46</v>
      </c>
      <c r="G44" s="6" t="s">
        <v>141</v>
      </c>
    </row>
    <row r="45" ht="15.75" customHeight="1">
      <c r="A45" s="5" t="s">
        <v>16</v>
      </c>
      <c r="B45" s="5" t="s">
        <v>18</v>
      </c>
      <c r="C45" s="5" t="s">
        <v>142</v>
      </c>
      <c r="D45" s="5" t="s">
        <v>87</v>
      </c>
      <c r="E45" s="5" t="s">
        <v>143</v>
      </c>
      <c r="F45" s="6" t="s">
        <v>46</v>
      </c>
      <c r="G45" s="7"/>
    </row>
    <row r="46" ht="15.75" customHeight="1">
      <c r="A46" s="5" t="s">
        <v>16</v>
      </c>
      <c r="B46" s="5" t="s">
        <v>18</v>
      </c>
      <c r="C46" s="5" t="s">
        <v>144</v>
      </c>
      <c r="D46" s="5" t="s">
        <v>87</v>
      </c>
      <c r="E46" s="5" t="s">
        <v>145</v>
      </c>
      <c r="F46" s="6" t="s">
        <v>54</v>
      </c>
      <c r="G46" s="7"/>
    </row>
    <row r="47" ht="15.75" customHeight="1">
      <c r="A47" s="5" t="s">
        <v>16</v>
      </c>
      <c r="B47" s="5" t="s">
        <v>18</v>
      </c>
      <c r="C47" s="5" t="s">
        <v>146</v>
      </c>
      <c r="D47" s="5" t="s">
        <v>87</v>
      </c>
      <c r="E47" s="5" t="s">
        <v>147</v>
      </c>
      <c r="F47" s="6" t="s">
        <v>54</v>
      </c>
      <c r="G47" s="7"/>
    </row>
    <row r="48" ht="15.75" customHeight="1">
      <c r="A48" s="5" t="s">
        <v>30</v>
      </c>
      <c r="B48" s="5" t="s">
        <v>28</v>
      </c>
      <c r="C48" s="5" t="s">
        <v>20</v>
      </c>
      <c r="D48" s="5" t="s">
        <v>21</v>
      </c>
      <c r="E48" s="5" t="s">
        <v>148</v>
      </c>
      <c r="F48" s="6" t="s">
        <v>46</v>
      </c>
      <c r="G48" s="7"/>
    </row>
    <row r="49" ht="15.75" customHeight="1">
      <c r="A49" s="5" t="s">
        <v>30</v>
      </c>
      <c r="B49" s="5" t="s">
        <v>28</v>
      </c>
      <c r="C49" s="5" t="s">
        <v>47</v>
      </c>
      <c r="D49" s="5" t="s">
        <v>149</v>
      </c>
      <c r="E49" s="5" t="s">
        <v>150</v>
      </c>
      <c r="F49" s="6" t="s">
        <v>54</v>
      </c>
      <c r="G49" s="7"/>
    </row>
    <row r="50" ht="15.75" customHeight="1">
      <c r="A50" s="5" t="s">
        <v>30</v>
      </c>
      <c r="B50" s="5" t="s">
        <v>28</v>
      </c>
      <c r="C50" s="5" t="s">
        <v>49</v>
      </c>
      <c r="D50" s="5" t="s">
        <v>56</v>
      </c>
      <c r="E50" s="5" t="s">
        <v>151</v>
      </c>
      <c r="F50" s="6" t="s">
        <v>46</v>
      </c>
      <c r="G50" s="7"/>
    </row>
    <row r="51" ht="15.75" customHeight="1">
      <c r="A51" s="5" t="s">
        <v>30</v>
      </c>
      <c r="B51" s="5" t="s">
        <v>28</v>
      </c>
      <c r="C51" s="5" t="s">
        <v>52</v>
      </c>
      <c r="D51" s="5" t="s">
        <v>56</v>
      </c>
      <c r="E51" s="5" t="s">
        <v>152</v>
      </c>
      <c r="F51" s="6" t="s">
        <v>46</v>
      </c>
      <c r="G51" s="7"/>
    </row>
    <row r="52" ht="15.75" customHeight="1">
      <c r="A52" s="5" t="s">
        <v>30</v>
      </c>
      <c r="B52" s="5" t="s">
        <v>28</v>
      </c>
      <c r="C52" s="5" t="s">
        <v>55</v>
      </c>
      <c r="D52" s="5" t="s">
        <v>56</v>
      </c>
      <c r="E52" s="5" t="s">
        <v>153</v>
      </c>
      <c r="F52" s="6" t="s">
        <v>46</v>
      </c>
      <c r="G52" s="7"/>
    </row>
    <row r="53" ht="15.75" customHeight="1">
      <c r="A53" s="5" t="s">
        <v>30</v>
      </c>
      <c r="B53" s="5" t="s">
        <v>28</v>
      </c>
      <c r="C53" s="5" t="s">
        <v>58</v>
      </c>
      <c r="D53" s="5" t="s">
        <v>56</v>
      </c>
      <c r="E53" s="5" t="s">
        <v>154</v>
      </c>
      <c r="F53" s="6" t="s">
        <v>46</v>
      </c>
      <c r="G53" s="7"/>
    </row>
    <row r="54" ht="15.75" customHeight="1">
      <c r="A54" s="5" t="s">
        <v>30</v>
      </c>
      <c r="B54" s="5" t="s">
        <v>28</v>
      </c>
      <c r="C54" s="5" t="s">
        <v>60</v>
      </c>
      <c r="D54" s="5" t="s">
        <v>56</v>
      </c>
      <c r="E54" s="5" t="s">
        <v>155</v>
      </c>
      <c r="F54" s="6" t="s">
        <v>46</v>
      </c>
      <c r="G54" s="7"/>
    </row>
    <row r="55" ht="15.75" customHeight="1">
      <c r="A55" s="5" t="s">
        <v>30</v>
      </c>
      <c r="B55" s="5" t="s">
        <v>28</v>
      </c>
      <c r="C55" s="5" t="s">
        <v>62</v>
      </c>
      <c r="D55" s="5" t="s">
        <v>56</v>
      </c>
      <c r="E55" s="5" t="s">
        <v>156</v>
      </c>
      <c r="F55" s="6" t="s">
        <v>46</v>
      </c>
      <c r="G55" s="7"/>
    </row>
    <row r="56" ht="15.75" customHeight="1">
      <c r="A56" s="5" t="s">
        <v>30</v>
      </c>
      <c r="B56" s="5" t="s">
        <v>28</v>
      </c>
      <c r="C56" s="5" t="s">
        <v>66</v>
      </c>
      <c r="D56" s="5" t="s">
        <v>56</v>
      </c>
      <c r="E56" s="5" t="s">
        <v>157</v>
      </c>
      <c r="F56" s="6" t="s">
        <v>46</v>
      </c>
      <c r="G56" s="7"/>
    </row>
    <row r="57" ht="15.75" customHeight="1">
      <c r="A57" s="5" t="s">
        <v>30</v>
      </c>
      <c r="B57" s="5" t="s">
        <v>28</v>
      </c>
      <c r="C57" s="5" t="s">
        <v>69</v>
      </c>
      <c r="D57" s="5" t="s">
        <v>56</v>
      </c>
      <c r="E57" s="5" t="s">
        <v>158</v>
      </c>
      <c r="F57" s="6" t="s">
        <v>46</v>
      </c>
      <c r="G57" s="7"/>
    </row>
    <row r="58" ht="15.75" customHeight="1">
      <c r="A58" s="5" t="s">
        <v>30</v>
      </c>
      <c r="B58" s="5" t="s">
        <v>28</v>
      </c>
      <c r="C58" s="5" t="s">
        <v>72</v>
      </c>
      <c r="D58" s="5" t="s">
        <v>63</v>
      </c>
      <c r="E58" s="5" t="s">
        <v>159</v>
      </c>
      <c r="F58" s="6" t="s">
        <v>46</v>
      </c>
      <c r="G58" s="6" t="s">
        <v>160</v>
      </c>
    </row>
    <row r="59" ht="15.75" customHeight="1">
      <c r="A59" s="5" t="s">
        <v>30</v>
      </c>
      <c r="B59" s="5" t="s">
        <v>28</v>
      </c>
      <c r="C59" s="5" t="s">
        <v>74</v>
      </c>
      <c r="D59" s="5" t="s">
        <v>63</v>
      </c>
      <c r="E59" s="5" t="s">
        <v>161</v>
      </c>
      <c r="F59" s="6" t="s">
        <v>54</v>
      </c>
      <c r="G59" s="7"/>
    </row>
    <row r="60" ht="15.75" customHeight="1">
      <c r="A60" s="5" t="s">
        <v>30</v>
      </c>
      <c r="B60" s="5" t="s">
        <v>28</v>
      </c>
      <c r="C60" s="5" t="s">
        <v>76</v>
      </c>
      <c r="D60" s="5" t="s">
        <v>63</v>
      </c>
      <c r="E60" s="5" t="s">
        <v>162</v>
      </c>
      <c r="F60" s="6" t="s">
        <v>54</v>
      </c>
      <c r="G60" s="7"/>
    </row>
    <row r="61" ht="15.75" customHeight="1">
      <c r="A61" s="5" t="s">
        <v>30</v>
      </c>
      <c r="B61" s="5" t="s">
        <v>28</v>
      </c>
      <c r="C61" s="5" t="s">
        <v>79</v>
      </c>
      <c r="D61" s="5" t="s">
        <v>82</v>
      </c>
      <c r="E61" s="5" t="s">
        <v>163</v>
      </c>
      <c r="F61" s="6" t="s">
        <v>54</v>
      </c>
      <c r="G61" s="7"/>
    </row>
    <row r="62" ht="15.75" customHeight="1">
      <c r="A62" s="5" t="s">
        <v>30</v>
      </c>
      <c r="B62" s="5" t="s">
        <v>28</v>
      </c>
      <c r="C62" s="5" t="s">
        <v>81</v>
      </c>
      <c r="D62" s="5" t="s">
        <v>82</v>
      </c>
      <c r="E62" s="5" t="s">
        <v>164</v>
      </c>
      <c r="F62" s="6" t="s">
        <v>54</v>
      </c>
      <c r="G62" s="6" t="s">
        <v>165</v>
      </c>
    </row>
    <row r="63" ht="15.75" customHeight="1">
      <c r="A63" s="5" t="s">
        <v>30</v>
      </c>
      <c r="B63" s="5" t="s">
        <v>28</v>
      </c>
      <c r="C63" s="5" t="s">
        <v>84</v>
      </c>
      <c r="D63" s="5" t="s">
        <v>87</v>
      </c>
      <c r="E63" s="5" t="s">
        <v>166</v>
      </c>
      <c r="F63" s="6" t="s">
        <v>46</v>
      </c>
      <c r="G63" s="7"/>
    </row>
    <row r="64" ht="15.75" customHeight="1">
      <c r="A64" s="5" t="s">
        <v>30</v>
      </c>
      <c r="B64" s="5" t="s">
        <v>28</v>
      </c>
      <c r="C64" s="5" t="s">
        <v>86</v>
      </c>
      <c r="D64" s="5" t="s">
        <v>87</v>
      </c>
      <c r="E64" s="5" t="s">
        <v>167</v>
      </c>
      <c r="F64" s="6" t="s">
        <v>46</v>
      </c>
      <c r="G64" s="7"/>
    </row>
    <row r="65" ht="15.75" customHeight="1">
      <c r="A65" s="5" t="s">
        <v>30</v>
      </c>
      <c r="B65" s="5" t="s">
        <v>28</v>
      </c>
      <c r="C65" s="5" t="s">
        <v>89</v>
      </c>
      <c r="D65" s="5" t="s">
        <v>87</v>
      </c>
      <c r="E65" s="5" t="s">
        <v>168</v>
      </c>
      <c r="F65" s="6" t="s">
        <v>46</v>
      </c>
      <c r="G65" s="7"/>
    </row>
    <row r="66" ht="15.75" customHeight="1">
      <c r="A66" s="5" t="s">
        <v>30</v>
      </c>
      <c r="B66" s="5" t="s">
        <v>28</v>
      </c>
      <c r="C66" s="5" t="s">
        <v>91</v>
      </c>
      <c r="D66" s="5" t="s">
        <v>87</v>
      </c>
      <c r="E66" s="5" t="s">
        <v>169</v>
      </c>
      <c r="F66" s="6" t="s">
        <v>46</v>
      </c>
      <c r="G66" s="7"/>
    </row>
    <row r="67" ht="15.75" customHeight="1">
      <c r="A67" s="5" t="s">
        <v>30</v>
      </c>
      <c r="B67" s="5" t="s">
        <v>28</v>
      </c>
      <c r="C67" s="5" t="s">
        <v>93</v>
      </c>
      <c r="D67" s="5" t="s">
        <v>87</v>
      </c>
      <c r="E67" s="5" t="s">
        <v>170</v>
      </c>
      <c r="F67" s="6" t="s">
        <v>46</v>
      </c>
      <c r="G67" s="7"/>
    </row>
    <row r="68" ht="15.75" customHeight="1">
      <c r="A68" s="5" t="s">
        <v>30</v>
      </c>
      <c r="B68" s="5" t="s">
        <v>28</v>
      </c>
      <c r="C68" s="5" t="s">
        <v>95</v>
      </c>
      <c r="D68" s="5" t="s">
        <v>87</v>
      </c>
      <c r="E68" s="5" t="s">
        <v>171</v>
      </c>
      <c r="F68" s="6" t="s">
        <v>46</v>
      </c>
      <c r="G68" s="7"/>
    </row>
    <row r="69" ht="15.75" customHeight="1">
      <c r="A69" s="5" t="s">
        <v>30</v>
      </c>
      <c r="B69" s="5" t="s">
        <v>28</v>
      </c>
      <c r="C69" s="5" t="s">
        <v>97</v>
      </c>
      <c r="D69" s="5" t="s">
        <v>87</v>
      </c>
      <c r="E69" s="5" t="s">
        <v>172</v>
      </c>
      <c r="F69" s="6" t="s">
        <v>46</v>
      </c>
      <c r="G69" s="7"/>
    </row>
    <row r="70" ht="15.75" customHeight="1">
      <c r="A70" s="5" t="s">
        <v>30</v>
      </c>
      <c r="B70" s="5" t="s">
        <v>28</v>
      </c>
      <c r="C70" s="5" t="s">
        <v>99</v>
      </c>
      <c r="D70" s="5" t="s">
        <v>87</v>
      </c>
      <c r="E70" s="5" t="s">
        <v>173</v>
      </c>
      <c r="F70" s="6" t="s">
        <v>46</v>
      </c>
      <c r="G70" s="7"/>
    </row>
    <row r="71" ht="15.75" customHeight="1">
      <c r="A71" s="5" t="s">
        <v>30</v>
      </c>
      <c r="B71" s="5" t="s">
        <v>28</v>
      </c>
      <c r="C71" s="5" t="s">
        <v>101</v>
      </c>
      <c r="D71" s="5" t="s">
        <v>87</v>
      </c>
      <c r="E71" s="5" t="s">
        <v>174</v>
      </c>
      <c r="F71" s="6" t="s">
        <v>46</v>
      </c>
      <c r="G71" s="7"/>
    </row>
    <row r="72" ht="15.75" customHeight="1">
      <c r="A72" s="5" t="s">
        <v>30</v>
      </c>
      <c r="B72" s="5" t="s">
        <v>28</v>
      </c>
      <c r="C72" s="5" t="s">
        <v>103</v>
      </c>
      <c r="D72" s="5" t="s">
        <v>87</v>
      </c>
      <c r="E72" s="5" t="s">
        <v>175</v>
      </c>
      <c r="F72" s="6" t="s">
        <v>46</v>
      </c>
      <c r="G72" s="7"/>
    </row>
    <row r="73" ht="15.75" customHeight="1">
      <c r="A73" s="5" t="s">
        <v>30</v>
      </c>
      <c r="B73" s="5" t="s">
        <v>28</v>
      </c>
      <c r="C73" s="5" t="s">
        <v>105</v>
      </c>
      <c r="D73" s="5" t="s">
        <v>87</v>
      </c>
      <c r="E73" s="5" t="s">
        <v>176</v>
      </c>
      <c r="F73" s="6" t="s">
        <v>46</v>
      </c>
      <c r="G73" s="7"/>
    </row>
    <row r="74" ht="15.75" customHeight="1">
      <c r="A74" s="5" t="s">
        <v>30</v>
      </c>
      <c r="B74" s="5" t="s">
        <v>28</v>
      </c>
      <c r="C74" s="5" t="s">
        <v>107</v>
      </c>
      <c r="D74" s="5" t="s">
        <v>87</v>
      </c>
      <c r="E74" s="5" t="s">
        <v>177</v>
      </c>
      <c r="F74" s="6" t="s">
        <v>46</v>
      </c>
      <c r="G74" s="7"/>
    </row>
    <row r="75" ht="15.75" customHeight="1">
      <c r="A75" s="5" t="s">
        <v>30</v>
      </c>
      <c r="B75" s="5" t="s">
        <v>28</v>
      </c>
      <c r="C75" s="5" t="s">
        <v>109</v>
      </c>
      <c r="D75" s="5" t="s">
        <v>87</v>
      </c>
      <c r="E75" s="5" t="s">
        <v>178</v>
      </c>
      <c r="F75" s="6" t="s">
        <v>54</v>
      </c>
      <c r="G75" s="7"/>
    </row>
    <row r="76" ht="15.75" customHeight="1">
      <c r="A76" s="5" t="s">
        <v>30</v>
      </c>
      <c r="B76" s="5" t="s">
        <v>28</v>
      </c>
      <c r="C76" s="5" t="s">
        <v>111</v>
      </c>
      <c r="D76" s="5" t="s">
        <v>87</v>
      </c>
      <c r="E76" s="5" t="s">
        <v>179</v>
      </c>
      <c r="F76" s="6" t="s">
        <v>46</v>
      </c>
      <c r="G76" s="7"/>
    </row>
    <row r="77" ht="15.75" customHeight="1">
      <c r="A77" s="5" t="s">
        <v>30</v>
      </c>
      <c r="B77" s="5" t="s">
        <v>28</v>
      </c>
      <c r="C77" s="5" t="s">
        <v>113</v>
      </c>
      <c r="D77" s="5" t="s">
        <v>87</v>
      </c>
      <c r="E77" s="5" t="s">
        <v>180</v>
      </c>
      <c r="F77" s="6" t="s">
        <v>46</v>
      </c>
      <c r="G77" s="7"/>
    </row>
    <row r="78" ht="15.75" customHeight="1">
      <c r="A78" s="5" t="s">
        <v>37</v>
      </c>
      <c r="B78" s="5" t="s">
        <v>35</v>
      </c>
      <c r="C78" s="5" t="s">
        <v>20</v>
      </c>
      <c r="D78" s="5" t="s">
        <v>21</v>
      </c>
      <c r="E78" s="5" t="s">
        <v>181</v>
      </c>
      <c r="F78" s="6" t="s">
        <v>46</v>
      </c>
      <c r="G78" s="7"/>
    </row>
    <row r="79" ht="15.75" customHeight="1">
      <c r="A79" s="5" t="s">
        <v>37</v>
      </c>
      <c r="B79" s="5" t="s">
        <v>35</v>
      </c>
      <c r="C79" s="5" t="s">
        <v>47</v>
      </c>
      <c r="D79" s="5" t="s">
        <v>149</v>
      </c>
      <c r="E79" s="5" t="s">
        <v>182</v>
      </c>
      <c r="F79" s="6" t="s">
        <v>54</v>
      </c>
      <c r="G79" s="7"/>
    </row>
    <row r="80" ht="15.75" customHeight="1">
      <c r="A80" s="5" t="s">
        <v>37</v>
      </c>
      <c r="B80" s="5" t="s">
        <v>35</v>
      </c>
      <c r="C80" s="5" t="s">
        <v>49</v>
      </c>
      <c r="D80" s="5" t="s">
        <v>56</v>
      </c>
      <c r="E80" s="5" t="s">
        <v>183</v>
      </c>
      <c r="F80" s="6" t="s">
        <v>46</v>
      </c>
      <c r="G80" s="7"/>
    </row>
    <row r="81" ht="15.75" customHeight="1">
      <c r="A81" s="5" t="s">
        <v>37</v>
      </c>
      <c r="B81" s="5" t="s">
        <v>35</v>
      </c>
      <c r="C81" s="5" t="s">
        <v>52</v>
      </c>
      <c r="D81" s="5" t="s">
        <v>56</v>
      </c>
      <c r="E81" s="5" t="s">
        <v>184</v>
      </c>
      <c r="F81" s="6" t="s">
        <v>46</v>
      </c>
      <c r="G81" s="7"/>
    </row>
    <row r="82" ht="15.75" customHeight="1">
      <c r="A82" s="5" t="s">
        <v>37</v>
      </c>
      <c r="B82" s="5" t="s">
        <v>35</v>
      </c>
      <c r="C82" s="5" t="s">
        <v>55</v>
      </c>
      <c r="D82" s="5" t="s">
        <v>56</v>
      </c>
      <c r="E82" s="5" t="s">
        <v>185</v>
      </c>
      <c r="F82" s="6" t="s">
        <v>46</v>
      </c>
      <c r="G82" s="7"/>
    </row>
    <row r="83" ht="15.75" customHeight="1">
      <c r="A83" s="5" t="s">
        <v>37</v>
      </c>
      <c r="B83" s="5" t="s">
        <v>35</v>
      </c>
      <c r="C83" s="5" t="s">
        <v>58</v>
      </c>
      <c r="D83" s="5" t="s">
        <v>56</v>
      </c>
      <c r="E83" s="5" t="s">
        <v>186</v>
      </c>
      <c r="F83" s="6" t="s">
        <v>46</v>
      </c>
      <c r="G83" s="7"/>
    </row>
    <row r="84" ht="15.75" customHeight="1">
      <c r="A84" s="5" t="s">
        <v>37</v>
      </c>
      <c r="B84" s="5" t="s">
        <v>35</v>
      </c>
      <c r="C84" s="5" t="s">
        <v>60</v>
      </c>
      <c r="D84" s="5" t="s">
        <v>56</v>
      </c>
      <c r="E84" s="5" t="s">
        <v>187</v>
      </c>
      <c r="F84" s="6" t="s">
        <v>46</v>
      </c>
      <c r="G84" s="7"/>
    </row>
    <row r="85" ht="15.75" customHeight="1">
      <c r="A85" s="5" t="s">
        <v>37</v>
      </c>
      <c r="B85" s="5" t="s">
        <v>35</v>
      </c>
      <c r="C85" s="5" t="s">
        <v>62</v>
      </c>
      <c r="D85" s="5" t="s">
        <v>56</v>
      </c>
      <c r="E85" s="5" t="s">
        <v>188</v>
      </c>
      <c r="F85" s="6" t="s">
        <v>46</v>
      </c>
      <c r="G85" s="7"/>
    </row>
    <row r="86" ht="15.75" customHeight="1">
      <c r="A86" s="5" t="s">
        <v>37</v>
      </c>
      <c r="B86" s="5" t="s">
        <v>35</v>
      </c>
      <c r="C86" s="5" t="s">
        <v>66</v>
      </c>
      <c r="D86" s="5" t="s">
        <v>63</v>
      </c>
      <c r="E86" s="5" t="s">
        <v>189</v>
      </c>
      <c r="F86" s="6" t="s">
        <v>46</v>
      </c>
      <c r="G86" s="6" t="s">
        <v>190</v>
      </c>
    </row>
    <row r="87" ht="15.75" customHeight="1">
      <c r="A87" s="5" t="s">
        <v>37</v>
      </c>
      <c r="B87" s="5" t="s">
        <v>35</v>
      </c>
      <c r="C87" s="5" t="s">
        <v>69</v>
      </c>
      <c r="D87" s="5" t="s">
        <v>63</v>
      </c>
      <c r="E87" s="5" t="s">
        <v>191</v>
      </c>
      <c r="F87" s="6" t="s">
        <v>54</v>
      </c>
      <c r="G87" s="7"/>
    </row>
    <row r="88" ht="15.75" customHeight="1">
      <c r="A88" s="5" t="s">
        <v>37</v>
      </c>
      <c r="B88" s="5" t="s">
        <v>35</v>
      </c>
      <c r="C88" s="5" t="s">
        <v>72</v>
      </c>
      <c r="D88" s="5" t="s">
        <v>63</v>
      </c>
      <c r="E88" s="5" t="s">
        <v>192</v>
      </c>
      <c r="F88" s="6" t="s">
        <v>54</v>
      </c>
      <c r="G88" s="7"/>
    </row>
    <row r="89" ht="15.75" customHeight="1">
      <c r="A89" s="5" t="s">
        <v>37</v>
      </c>
      <c r="B89" s="5" t="s">
        <v>35</v>
      </c>
      <c r="C89" s="5" t="s">
        <v>74</v>
      </c>
      <c r="D89" s="5" t="s">
        <v>63</v>
      </c>
      <c r="E89" s="5" t="s">
        <v>193</v>
      </c>
      <c r="F89" s="6" t="s">
        <v>54</v>
      </c>
      <c r="G89" s="7"/>
    </row>
    <row r="90" ht="15.75" customHeight="1">
      <c r="A90" s="5" t="s">
        <v>37</v>
      </c>
      <c r="B90" s="5" t="s">
        <v>35</v>
      </c>
      <c r="C90" s="5" t="s">
        <v>76</v>
      </c>
      <c r="D90" s="5" t="s">
        <v>82</v>
      </c>
      <c r="E90" s="5" t="s">
        <v>194</v>
      </c>
      <c r="F90" s="6" t="s">
        <v>54</v>
      </c>
      <c r="G90" s="7"/>
    </row>
    <row r="91" ht="15.75" customHeight="1">
      <c r="A91" s="5" t="s">
        <v>37</v>
      </c>
      <c r="B91" s="5" t="s">
        <v>35</v>
      </c>
      <c r="C91" s="5" t="s">
        <v>79</v>
      </c>
      <c r="D91" s="5" t="s">
        <v>82</v>
      </c>
      <c r="E91" s="5" t="s">
        <v>195</v>
      </c>
      <c r="F91" s="6" t="s">
        <v>54</v>
      </c>
      <c r="G91" s="7"/>
    </row>
    <row r="92" ht="15.75" customHeight="1">
      <c r="A92" s="5" t="s">
        <v>37</v>
      </c>
      <c r="B92" s="5" t="s">
        <v>35</v>
      </c>
      <c r="C92" s="5" t="s">
        <v>81</v>
      </c>
      <c r="D92" s="5" t="s">
        <v>87</v>
      </c>
      <c r="E92" s="5" t="s">
        <v>196</v>
      </c>
      <c r="F92" s="6" t="s">
        <v>46</v>
      </c>
      <c r="G92" s="7"/>
    </row>
    <row r="93" ht="15.75" customHeight="1">
      <c r="A93" s="5" t="s">
        <v>37</v>
      </c>
      <c r="B93" s="5" t="s">
        <v>35</v>
      </c>
      <c r="C93" s="5" t="s">
        <v>84</v>
      </c>
      <c r="D93" s="5" t="s">
        <v>87</v>
      </c>
      <c r="E93" s="5" t="s">
        <v>197</v>
      </c>
      <c r="F93" s="6" t="s">
        <v>46</v>
      </c>
      <c r="G93" s="7"/>
    </row>
    <row r="94" ht="15.75" customHeight="1">
      <c r="A94" s="5" t="s">
        <v>37</v>
      </c>
      <c r="B94" s="5" t="s">
        <v>35</v>
      </c>
      <c r="C94" s="5" t="s">
        <v>86</v>
      </c>
      <c r="D94" s="5" t="s">
        <v>87</v>
      </c>
      <c r="E94" s="5" t="s">
        <v>198</v>
      </c>
      <c r="F94" s="6" t="s">
        <v>46</v>
      </c>
      <c r="G94" s="7"/>
    </row>
    <row r="95" ht="15.75" customHeight="1">
      <c r="A95" s="5" t="s">
        <v>37</v>
      </c>
      <c r="B95" s="5" t="s">
        <v>35</v>
      </c>
      <c r="C95" s="5" t="s">
        <v>89</v>
      </c>
      <c r="D95" s="5" t="s">
        <v>87</v>
      </c>
      <c r="E95" s="5" t="s">
        <v>199</v>
      </c>
      <c r="F95" s="6" t="s">
        <v>46</v>
      </c>
      <c r="G95" s="7"/>
    </row>
    <row r="96" ht="15.75" customHeight="1">
      <c r="A96" s="5" t="s">
        <v>37</v>
      </c>
      <c r="B96" s="5" t="s">
        <v>35</v>
      </c>
      <c r="C96" s="5" t="s">
        <v>91</v>
      </c>
      <c r="D96" s="5" t="s">
        <v>87</v>
      </c>
      <c r="E96" s="5" t="s">
        <v>200</v>
      </c>
      <c r="F96" s="6" t="s">
        <v>46</v>
      </c>
      <c r="G96" s="7"/>
    </row>
    <row r="97" ht="15.75" customHeight="1">
      <c r="A97" s="5" t="s">
        <v>37</v>
      </c>
      <c r="B97" s="5" t="s">
        <v>35</v>
      </c>
      <c r="C97" s="5" t="s">
        <v>93</v>
      </c>
      <c r="D97" s="5" t="s">
        <v>87</v>
      </c>
      <c r="E97" s="5" t="s">
        <v>201</v>
      </c>
      <c r="F97" s="6" t="s">
        <v>46</v>
      </c>
      <c r="G97" s="7"/>
    </row>
    <row r="98" ht="15.75" customHeight="1">
      <c r="A98" s="5" t="s">
        <v>37</v>
      </c>
      <c r="B98" s="5" t="s">
        <v>35</v>
      </c>
      <c r="C98" s="5" t="s">
        <v>95</v>
      </c>
      <c r="D98" s="5" t="s">
        <v>87</v>
      </c>
      <c r="E98" s="5" t="s">
        <v>202</v>
      </c>
      <c r="F98" s="6" t="s">
        <v>46</v>
      </c>
      <c r="G98" s="7"/>
    </row>
    <row r="99" ht="15.75" customHeight="1">
      <c r="A99" s="5" t="s">
        <v>37</v>
      </c>
      <c r="B99" s="5" t="s">
        <v>35</v>
      </c>
      <c r="C99" s="5" t="s">
        <v>97</v>
      </c>
      <c r="D99" s="5" t="s">
        <v>87</v>
      </c>
      <c r="E99" s="5" t="s">
        <v>203</v>
      </c>
      <c r="F99" s="6" t="s">
        <v>46</v>
      </c>
      <c r="G99" s="7"/>
    </row>
    <row r="100" ht="15.75" customHeight="1">
      <c r="A100" s="5" t="s">
        <v>37</v>
      </c>
      <c r="B100" s="5" t="s">
        <v>35</v>
      </c>
      <c r="C100" s="5" t="s">
        <v>99</v>
      </c>
      <c r="D100" s="5" t="s">
        <v>87</v>
      </c>
      <c r="E100" s="5" t="s">
        <v>204</v>
      </c>
      <c r="F100" s="6" t="s">
        <v>46</v>
      </c>
      <c r="G100" s="7"/>
    </row>
    <row r="101" ht="15.75" customHeight="1">
      <c r="A101" s="5" t="s">
        <v>37</v>
      </c>
      <c r="B101" s="5" t="s">
        <v>35</v>
      </c>
      <c r="C101" s="5" t="s">
        <v>101</v>
      </c>
      <c r="D101" s="5" t="s">
        <v>87</v>
      </c>
      <c r="E101" s="5" t="s">
        <v>205</v>
      </c>
      <c r="F101" s="6" t="s">
        <v>46</v>
      </c>
      <c r="G101" s="6" t="s">
        <v>206</v>
      </c>
    </row>
    <row r="102" ht="15.75" customHeight="1">
      <c r="A102" s="5" t="s">
        <v>37</v>
      </c>
      <c r="B102" s="5" t="s">
        <v>35</v>
      </c>
      <c r="C102" s="5" t="s">
        <v>103</v>
      </c>
      <c r="D102" s="5" t="s">
        <v>87</v>
      </c>
      <c r="E102" s="5" t="s">
        <v>207</v>
      </c>
      <c r="F102" s="6" t="s">
        <v>46</v>
      </c>
      <c r="G102" s="6" t="s">
        <v>208</v>
      </c>
    </row>
    <row r="103" ht="15.75" customHeight="1">
      <c r="A103" s="5" t="s">
        <v>37</v>
      </c>
      <c r="B103" s="5" t="s">
        <v>35</v>
      </c>
      <c r="C103" s="5" t="s">
        <v>105</v>
      </c>
      <c r="D103" s="5" t="s">
        <v>87</v>
      </c>
      <c r="E103" s="5" t="s">
        <v>209</v>
      </c>
      <c r="F103" s="6" t="s">
        <v>46</v>
      </c>
      <c r="G103" s="7"/>
    </row>
    <row r="104" ht="15.75" customHeight="1">
      <c r="A104" s="5" t="s">
        <v>37</v>
      </c>
      <c r="B104" s="5" t="s">
        <v>35</v>
      </c>
      <c r="C104" s="5" t="s">
        <v>107</v>
      </c>
      <c r="D104" s="5" t="s">
        <v>87</v>
      </c>
      <c r="E104" s="5" t="s">
        <v>210</v>
      </c>
      <c r="F104" s="6" t="s">
        <v>46</v>
      </c>
      <c r="G104" s="7"/>
    </row>
    <row r="105" ht="15.75" customHeight="1">
      <c r="A105" s="5" t="s">
        <v>37</v>
      </c>
      <c r="B105" s="5" t="s">
        <v>35</v>
      </c>
      <c r="C105" s="5" t="s">
        <v>109</v>
      </c>
      <c r="D105" s="5" t="s">
        <v>87</v>
      </c>
      <c r="E105" s="5" t="s">
        <v>211</v>
      </c>
      <c r="F105" s="6" t="s">
        <v>46</v>
      </c>
      <c r="G105" s="7"/>
    </row>
    <row r="106" ht="15.75" customHeight="1">
      <c r="A106" s="5" t="s">
        <v>37</v>
      </c>
      <c r="B106" s="5" t="s">
        <v>35</v>
      </c>
      <c r="C106" s="5" t="s">
        <v>111</v>
      </c>
      <c r="D106" s="5" t="s">
        <v>87</v>
      </c>
      <c r="E106" s="5" t="s">
        <v>212</v>
      </c>
      <c r="F106" s="6" t="s">
        <v>54</v>
      </c>
      <c r="G106" s="7"/>
    </row>
    <row r="107" ht="15.75" customHeight="1">
      <c r="A107" s="5" t="s">
        <v>37</v>
      </c>
      <c r="B107" s="5" t="s">
        <v>35</v>
      </c>
      <c r="C107" s="5" t="s">
        <v>113</v>
      </c>
      <c r="D107" s="5" t="s">
        <v>87</v>
      </c>
      <c r="E107" s="5" t="s">
        <v>213</v>
      </c>
      <c r="F107" s="6" t="s">
        <v>54</v>
      </c>
      <c r="G107" s="7"/>
    </row>
    <row r="108" ht="15.75" customHeight="1">
      <c r="A108" s="5" t="s">
        <v>43</v>
      </c>
      <c r="B108" s="5" t="s">
        <v>41</v>
      </c>
      <c r="C108" s="5" t="s">
        <v>20</v>
      </c>
      <c r="D108" s="5" t="s">
        <v>214</v>
      </c>
      <c r="E108" s="5" t="s">
        <v>215</v>
      </c>
      <c r="F108" s="6" t="s">
        <v>46</v>
      </c>
      <c r="G108" s="7"/>
    </row>
    <row r="109" ht="15.75" customHeight="1">
      <c r="A109" s="5" t="s">
        <v>43</v>
      </c>
      <c r="B109" s="5" t="s">
        <v>41</v>
      </c>
      <c r="C109" s="5" t="s">
        <v>47</v>
      </c>
      <c r="D109" s="5" t="s">
        <v>214</v>
      </c>
      <c r="E109" s="5" t="s">
        <v>216</v>
      </c>
      <c r="F109" s="6" t="s">
        <v>46</v>
      </c>
      <c r="G109" s="7"/>
    </row>
    <row r="110" ht="15.75" customHeight="1">
      <c r="A110" s="5" t="s">
        <v>43</v>
      </c>
      <c r="B110" s="5" t="s">
        <v>41</v>
      </c>
      <c r="C110" s="5" t="s">
        <v>49</v>
      </c>
      <c r="D110" s="5" t="s">
        <v>214</v>
      </c>
      <c r="E110" s="5" t="s">
        <v>217</v>
      </c>
      <c r="F110" s="6" t="s">
        <v>54</v>
      </c>
      <c r="G110" s="7"/>
    </row>
    <row r="111" ht="15.75" customHeight="1">
      <c r="A111" s="5" t="s">
        <v>43</v>
      </c>
      <c r="B111" s="5" t="s">
        <v>41</v>
      </c>
      <c r="C111" s="5" t="s">
        <v>52</v>
      </c>
      <c r="D111" s="5" t="s">
        <v>214</v>
      </c>
      <c r="E111" s="5" t="s">
        <v>218</v>
      </c>
      <c r="F111" s="6" t="s">
        <v>46</v>
      </c>
      <c r="G111" s="7"/>
    </row>
    <row r="112" ht="15.75" customHeight="1">
      <c r="A112" s="5" t="s">
        <v>43</v>
      </c>
      <c r="B112" s="5" t="s">
        <v>41</v>
      </c>
      <c r="C112" s="5" t="s">
        <v>55</v>
      </c>
      <c r="D112" s="5" t="s">
        <v>214</v>
      </c>
      <c r="E112" s="5" t="s">
        <v>219</v>
      </c>
      <c r="F112" s="6" t="s">
        <v>54</v>
      </c>
      <c r="G112" s="6" t="s">
        <v>220</v>
      </c>
    </row>
    <row r="113" ht="15.75" customHeight="1">
      <c r="A113" s="5" t="s">
        <v>43</v>
      </c>
      <c r="B113" s="5" t="s">
        <v>41</v>
      </c>
      <c r="C113" s="5" t="s">
        <v>58</v>
      </c>
      <c r="D113" s="5" t="s">
        <v>214</v>
      </c>
      <c r="E113" s="5" t="s">
        <v>221</v>
      </c>
      <c r="F113" s="6" t="s">
        <v>54</v>
      </c>
      <c r="G113" s="7"/>
    </row>
    <row r="114" ht="15.75" customHeight="1">
      <c r="A114" s="5" t="s">
        <v>43</v>
      </c>
      <c r="B114" s="5" t="s">
        <v>41</v>
      </c>
      <c r="C114" s="5" t="s">
        <v>60</v>
      </c>
      <c r="D114" s="5" t="s">
        <v>214</v>
      </c>
      <c r="E114" s="5" t="s">
        <v>222</v>
      </c>
      <c r="F114" s="6" t="s">
        <v>54</v>
      </c>
      <c r="G114" s="7"/>
    </row>
    <row r="115" ht="15.75" customHeight="1">
      <c r="A115" s="5" t="s">
        <v>43</v>
      </c>
      <c r="B115" s="5" t="s">
        <v>41</v>
      </c>
      <c r="C115" s="5" t="s">
        <v>62</v>
      </c>
      <c r="D115" s="5" t="s">
        <v>87</v>
      </c>
      <c r="E115" s="5" t="s">
        <v>223</v>
      </c>
      <c r="F115" s="6" t="s">
        <v>46</v>
      </c>
      <c r="G115" s="7"/>
    </row>
    <row r="116" ht="15.75" customHeight="1">
      <c r="A116" s="5" t="s">
        <v>43</v>
      </c>
      <c r="B116" s="5" t="s">
        <v>41</v>
      </c>
      <c r="C116" s="5" t="s">
        <v>66</v>
      </c>
      <c r="D116" s="5" t="s">
        <v>87</v>
      </c>
      <c r="E116" s="5" t="s">
        <v>224</v>
      </c>
      <c r="F116" s="6" t="s">
        <v>46</v>
      </c>
      <c r="G116" s="7"/>
    </row>
    <row r="117" ht="15.75" customHeight="1">
      <c r="A117" s="5" t="s">
        <v>43</v>
      </c>
      <c r="B117" s="5" t="s">
        <v>41</v>
      </c>
      <c r="C117" s="5" t="s">
        <v>69</v>
      </c>
      <c r="D117" s="5" t="s">
        <v>87</v>
      </c>
      <c r="E117" s="5" t="s">
        <v>225</v>
      </c>
      <c r="F117" s="6" t="s">
        <v>46</v>
      </c>
      <c r="G117" s="7"/>
    </row>
    <row r="118" ht="15.75" customHeight="1">
      <c r="A118" s="5" t="s">
        <v>43</v>
      </c>
      <c r="B118" s="5" t="s">
        <v>41</v>
      </c>
      <c r="C118" s="5" t="s">
        <v>72</v>
      </c>
      <c r="D118" s="5" t="s">
        <v>87</v>
      </c>
      <c r="E118" s="5" t="s">
        <v>226</v>
      </c>
      <c r="F118" s="6" t="s">
        <v>46</v>
      </c>
      <c r="G118" s="7"/>
    </row>
    <row r="119" ht="15.75" customHeight="1">
      <c r="A119" s="5" t="s">
        <v>43</v>
      </c>
      <c r="B119" s="5" t="s">
        <v>41</v>
      </c>
      <c r="C119" s="5" t="s">
        <v>74</v>
      </c>
      <c r="D119" s="5" t="s">
        <v>87</v>
      </c>
      <c r="E119" s="5" t="s">
        <v>227</v>
      </c>
      <c r="F119" s="6" t="s">
        <v>46</v>
      </c>
      <c r="G119" s="7"/>
    </row>
    <row r="120" ht="15.75" customHeight="1">
      <c r="A120" s="5" t="s">
        <v>43</v>
      </c>
      <c r="B120" s="5" t="s">
        <v>41</v>
      </c>
      <c r="C120" s="5" t="s">
        <v>76</v>
      </c>
      <c r="D120" s="5" t="s">
        <v>87</v>
      </c>
      <c r="E120" s="5" t="s">
        <v>228</v>
      </c>
      <c r="F120" s="6" t="s">
        <v>46</v>
      </c>
      <c r="G120" s="7"/>
    </row>
    <row r="121" ht="15.75" customHeight="1">
      <c r="A121" s="5" t="s">
        <v>43</v>
      </c>
      <c r="B121" s="5" t="s">
        <v>41</v>
      </c>
      <c r="C121" s="5" t="s">
        <v>79</v>
      </c>
      <c r="D121" s="5" t="s">
        <v>87</v>
      </c>
      <c r="E121" s="5" t="s">
        <v>229</v>
      </c>
      <c r="F121" s="6" t="s">
        <v>46</v>
      </c>
      <c r="G121" s="7"/>
    </row>
    <row r="122" ht="15.75" customHeight="1">
      <c r="A122" s="5" t="s">
        <v>43</v>
      </c>
      <c r="B122" s="5" t="s">
        <v>41</v>
      </c>
      <c r="C122" s="5" t="s">
        <v>81</v>
      </c>
      <c r="D122" s="5" t="s">
        <v>87</v>
      </c>
      <c r="E122" s="5" t="s">
        <v>230</v>
      </c>
      <c r="F122" s="6" t="s">
        <v>46</v>
      </c>
      <c r="G122" s="7"/>
    </row>
    <row r="123" ht="15.75" customHeight="1">
      <c r="A123" s="5" t="s">
        <v>43</v>
      </c>
      <c r="B123" s="5" t="s">
        <v>41</v>
      </c>
      <c r="C123" s="5" t="s">
        <v>84</v>
      </c>
      <c r="D123" s="5" t="s">
        <v>87</v>
      </c>
      <c r="E123" s="5" t="s">
        <v>231</v>
      </c>
      <c r="F123" s="6" t="s">
        <v>46</v>
      </c>
      <c r="G123" s="7"/>
    </row>
    <row r="124" ht="15.75" customHeight="1">
      <c r="A124" s="5" t="s">
        <v>43</v>
      </c>
      <c r="B124" s="5" t="s">
        <v>41</v>
      </c>
      <c r="C124" s="5" t="s">
        <v>86</v>
      </c>
      <c r="D124" s="5" t="s">
        <v>87</v>
      </c>
      <c r="E124" s="5" t="s">
        <v>232</v>
      </c>
      <c r="F124" s="6" t="s">
        <v>54</v>
      </c>
      <c r="G124" s="7"/>
    </row>
    <row r="125" ht="15.75" customHeight="1">
      <c r="A125" s="5" t="s">
        <v>43</v>
      </c>
      <c r="B125" s="5" t="s">
        <v>41</v>
      </c>
      <c r="C125" s="5" t="s">
        <v>89</v>
      </c>
      <c r="D125" s="5" t="s">
        <v>87</v>
      </c>
      <c r="E125" s="5" t="s">
        <v>233</v>
      </c>
      <c r="F125" s="6" t="s">
        <v>54</v>
      </c>
      <c r="G125" s="7"/>
    </row>
    <row r="126" ht="15.75" customHeight="1">
      <c r="A126" s="5" t="s">
        <v>43</v>
      </c>
      <c r="B126" s="5" t="s">
        <v>41</v>
      </c>
      <c r="C126" s="5" t="s">
        <v>91</v>
      </c>
      <c r="D126" s="5" t="s">
        <v>87</v>
      </c>
      <c r="E126" s="5" t="s">
        <v>234</v>
      </c>
      <c r="F126" s="6" t="s">
        <v>54</v>
      </c>
      <c r="G126" s="7"/>
    </row>
    <row r="127" ht="15.75" customHeight="1">
      <c r="A127" s="5" t="s">
        <v>43</v>
      </c>
      <c r="B127" s="5" t="s">
        <v>41</v>
      </c>
      <c r="C127" s="5" t="s">
        <v>93</v>
      </c>
      <c r="D127" s="5" t="s">
        <v>87</v>
      </c>
      <c r="E127" s="5" t="s">
        <v>235</v>
      </c>
      <c r="F127" s="6" t="s">
        <v>54</v>
      </c>
      <c r="G127" s="7"/>
    </row>
    <row r="128" ht="15.75" customHeight="1">
      <c r="A128" s="5" t="s">
        <v>43</v>
      </c>
      <c r="B128" s="5" t="s">
        <v>41</v>
      </c>
      <c r="C128" s="5" t="s">
        <v>95</v>
      </c>
      <c r="D128" s="5" t="s">
        <v>87</v>
      </c>
      <c r="E128" s="5" t="s">
        <v>236</v>
      </c>
      <c r="F128" s="6" t="s">
        <v>46</v>
      </c>
      <c r="G128" s="6" t="s">
        <v>237</v>
      </c>
    </row>
    <row r="129" ht="15.75" customHeight="1">
      <c r="A129" s="5" t="s">
        <v>43</v>
      </c>
      <c r="B129" s="5" t="s">
        <v>41</v>
      </c>
      <c r="C129" s="5" t="s">
        <v>97</v>
      </c>
      <c r="D129" s="5" t="s">
        <v>87</v>
      </c>
      <c r="E129" s="5" t="s">
        <v>238</v>
      </c>
      <c r="F129" s="6" t="s">
        <v>46</v>
      </c>
      <c r="G129" s="7"/>
    </row>
    <row r="130" ht="15.75" customHeight="1">
      <c r="A130" s="5" t="s">
        <v>43</v>
      </c>
      <c r="B130" s="5" t="s">
        <v>41</v>
      </c>
      <c r="C130" s="5" t="s">
        <v>99</v>
      </c>
      <c r="D130" s="5" t="s">
        <v>87</v>
      </c>
      <c r="E130" s="5" t="s">
        <v>239</v>
      </c>
      <c r="F130" s="6" t="s">
        <v>46</v>
      </c>
      <c r="G130" s="7"/>
    </row>
    <row r="131" ht="15.75" customHeight="1">
      <c r="A131" s="5" t="s">
        <v>43</v>
      </c>
      <c r="B131" s="5" t="s">
        <v>41</v>
      </c>
      <c r="C131" s="5" t="s">
        <v>101</v>
      </c>
      <c r="D131" s="5" t="s">
        <v>87</v>
      </c>
      <c r="E131" s="5" t="s">
        <v>240</v>
      </c>
      <c r="F131" s="6" t="s">
        <v>46</v>
      </c>
      <c r="G131" s="7"/>
    </row>
    <row r="132" ht="15.75" customHeight="1">
      <c r="A132" s="5" t="s">
        <v>43</v>
      </c>
      <c r="B132" s="5" t="s">
        <v>41</v>
      </c>
      <c r="C132" s="5" t="s">
        <v>103</v>
      </c>
      <c r="D132" s="5" t="s">
        <v>87</v>
      </c>
      <c r="E132" s="5" t="s">
        <v>241</v>
      </c>
      <c r="F132" s="6" t="s">
        <v>46</v>
      </c>
      <c r="G132" s="7"/>
    </row>
    <row r="133" ht="15.75" customHeight="1">
      <c r="A133" s="5" t="s">
        <v>43</v>
      </c>
      <c r="B133" s="5" t="s">
        <v>41</v>
      </c>
      <c r="C133" s="5" t="s">
        <v>105</v>
      </c>
      <c r="D133" s="5" t="s">
        <v>87</v>
      </c>
      <c r="E133" s="5" t="s">
        <v>242</v>
      </c>
      <c r="F133" s="6" t="s">
        <v>46</v>
      </c>
      <c r="G133" s="7"/>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3"/>
  <dataValidations>
    <dataValidation type="list" allowBlank="1" showInputMessage="1" showErrorMessage="1" prompt="Invalid label - Pick CLAIM or BACKGROUND" sqref="F2:F133">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3" t="s">
        <v>1</v>
      </c>
      <c r="B1" s="3" t="s">
        <v>0</v>
      </c>
      <c r="C1" s="3" t="s">
        <v>13</v>
      </c>
      <c r="D1" s="3" t="s">
        <v>15</v>
      </c>
      <c r="E1" s="3" t="s">
        <v>17</v>
      </c>
    </row>
    <row r="2">
      <c r="A2" s="5" t="s">
        <v>18</v>
      </c>
      <c r="B2" s="5" t="s">
        <v>16</v>
      </c>
      <c r="C2" s="5" t="s">
        <v>24</v>
      </c>
      <c r="D2" s="5">
        <v>46.0</v>
      </c>
      <c r="E2" s="5" t="s">
        <v>26</v>
      </c>
    </row>
    <row r="3">
      <c r="A3" s="5" t="s">
        <v>28</v>
      </c>
      <c r="B3" s="5" t="s">
        <v>30</v>
      </c>
      <c r="C3" s="5" t="s">
        <v>31</v>
      </c>
      <c r="D3" s="5">
        <v>30.0</v>
      </c>
      <c r="E3" s="5" t="s">
        <v>33</v>
      </c>
    </row>
    <row r="4">
      <c r="A4" s="5" t="s">
        <v>35</v>
      </c>
      <c r="B4" s="5" t="s">
        <v>37</v>
      </c>
      <c r="C4" s="5" t="s">
        <v>38</v>
      </c>
      <c r="D4" s="5">
        <v>30.0</v>
      </c>
      <c r="E4" s="5" t="s">
        <v>39</v>
      </c>
    </row>
    <row r="5">
      <c r="A5" s="5" t="s">
        <v>41</v>
      </c>
      <c r="B5" s="5" t="s">
        <v>43</v>
      </c>
      <c r="C5" s="5" t="s">
        <v>44</v>
      </c>
      <c r="D5" s="5">
        <v>26.0</v>
      </c>
      <c r="E5" s="5"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