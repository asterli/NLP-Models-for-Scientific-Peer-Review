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s" sheetId="2" r:id="rId6"/>
    <sheet state="visible" name="Papers" sheetId="3" r:id="rId7"/>
  </sheets>
  <definedNames>
    <definedName hidden="1" localSheetId="1" name="_xlnm._FilterDatabase">Labels!$A$1:$G$131</definedName>
  </definedNames>
  <calcPr/>
</workbook>
</file>

<file path=xl/sharedStrings.xml><?xml version="1.0" encoding="utf-8"?>
<sst xmlns="http://schemas.openxmlformats.org/spreadsheetml/2006/main" count="828" uniqueCount="228">
  <si>
    <t>Claim labeling: Win</t>
  </si>
  <si>
    <t>pmcid</t>
  </si>
  <si>
    <t>paper_id</t>
  </si>
  <si>
    <t>What to do</t>
  </si>
  <si>
    <t>title</t>
  </si>
  <si>
    <t>sentences</t>
  </si>
  <si>
    <t>1. Read each paper's sentences in order on the Labels tab (they are grouped by paper, in reading order).</t>
  </si>
  <si>
    <t>link</t>
  </si>
  <si>
    <t>sentence_id</t>
  </si>
  <si>
    <t>2. In the yellow 'label' column, pick CLAIM or BACKGROUND from the dropdown. Every sentence needs a label.</t>
  </si>
  <si>
    <t>section</t>
  </si>
  <si>
    <t>PMC13570708</t>
  </si>
  <si>
    <t>text</t>
  </si>
  <si>
    <t>3. Use 'note' for anything borderline, so we can discuss it. Don't change any other column.</t>
  </si>
  <si>
    <t>label</t>
  </si>
  <si>
    <t>4. Label on your own, without comparing with others. Some papers are labeled by two people on purpose.</t>
  </si>
  <si>
    <t>doi:10.1177/29767342261444527</t>
  </si>
  <si>
    <t>note</t>
  </si>
  <si>
    <t>Impacts of a Scattered-Site Managed Alcohol Program for People With Alcohol Use Disorder in Halifax, Nova Scotia: A Mixed-Methods Study</t>
  </si>
  <si>
    <t>5. Due Sunday (Oct 18). Send the file back as is (don't rename columns or re-sort).</t>
  </si>
  <si>
    <t>https://doi.org/10.1177/29767342261444527</t>
  </si>
  <si>
    <t>PMC10825721</t>
  </si>
  <si>
    <t>s001</t>
  </si>
  <si>
    <t>doi:10.1001/jamanetworkopen.2023.53778</t>
  </si>
  <si>
    <t>Rules (full guide: data/claims/claim_labeling_guide.md in the repo)</t>
  </si>
  <si>
    <t>abstract:background</t>
  </si>
  <si>
    <t>Changes in Homelessness Among US Veterans After Implementation of the Ending Veteran Homelessness Initiative</t>
  </si>
  <si>
    <t>Managed alcohol programs (MAPs) are harm reduction services that provide regular, measured doses of beverage-grade alcohol alongside social and health services, aiming to reduce nonbeverage alcohol consumption and harms associated with excessive intoxication and withdrawal.</t>
  </si>
  <si>
    <t>CLAIM: the paper's own objective, contribution, finding, or conclusion (including implications of its findings).</t>
  </si>
  <si>
    <t>https://doi.org/10.1001/jamanetworkopen.2023.53778</t>
  </si>
  <si>
    <t>PMC7518819</t>
  </si>
  <si>
    <t>BACKGROUND: everything else, including prior work, motivation, gaps, and the study's own setup.</t>
  </si>
  <si>
    <t>doi:10.1111/1475-6773.13553</t>
  </si>
  <si>
    <t>A randomized trial of permanent supportive housing for chronically homeless persons with high use of publicly funded services</t>
  </si>
  <si>
    <t>NEW: descriptions of this study's design, setting, recruitment, or sample are BACKGROUND,</t>
  </si>
  <si>
    <t>https://doi.org/10.1111/1475-6773.13553</t>
  </si>
  <si>
    <t>unless the paper presents them as its contribution (e.g. first test in a particular population).</t>
  </si>
  <si>
    <t>PMC12052498</t>
  </si>
  <si>
    <t>doi:10.1111/1475-6773.14428</t>
  </si>
  <si>
    <t>The effect of a Veterans Affairs rapid rehousing and homelessness prevention program on long‐term housing instability</t>
  </si>
  <si>
    <t>Example (how a filled row looks)</t>
  </si>
  <si>
    <t>https://doi.org/10.1111/1475-6773.14428</t>
  </si>
  <si>
    <t>text: This secondary analysis of a randomized clinical trial included 2255 homeless adults with mental illnesses.</t>
  </si>
  <si>
    <t>label: BACKGROUND    note: (empty, not borderline)</t>
  </si>
  <si>
    <t>Progress</t>
  </si>
  <si>
    <t>BACKGROUND</t>
  </si>
  <si>
    <t>Sentences</t>
  </si>
  <si>
    <t>s002</t>
  </si>
  <si>
    <t>Most MAPs are paired with supportive housing, which can be at a single building (“single-site”) or more uncommonly across multiple apartments (“scattered-site”).</t>
  </si>
  <si>
    <t>s003</t>
  </si>
  <si>
    <t>The North End Community Health Centre – Mobile Outreach Street Health (MOSH) in Halifax, Nova Scotia, established Atlantic Canada’s first MAP, using a scattered-site model, in April 2020 – during the COVID-19 pandemic.</t>
  </si>
  <si>
    <t>s004</t>
  </si>
  <si>
    <t>We aimed to describe program participants, summarize outcomes, and understand stakeholder perceptions of program successes and challenges.</t>
  </si>
  <si>
    <t>s005</t>
  </si>
  <si>
    <t>abstract:methods</t>
  </si>
  <si>
    <t>Parallel, mixed methods program evaluation.</t>
  </si>
  <si>
    <t>s006</t>
  </si>
  <si>
    <t>Quantitative arm involved retrospective review of weekly program assessments documenting presence or absence of outcomes (April 2020-December 2022).</t>
  </si>
  <si>
    <t>s007</t>
  </si>
  <si>
    <t>CLAIM</t>
  </si>
  <si>
    <t>Qualitative arm included 4 focus groups with key stakeholders (May-June 2021).</t>
  </si>
  <si>
    <t>s008</t>
  </si>
  <si>
    <t>abstract:results</t>
  </si>
  <si>
    <t>Over the first 33 months, 38 people enrolled in MAP.</t>
  </si>
  <si>
    <t>s009</t>
  </si>
  <si>
    <t>At the time of our study, 9 had died and 9 left the program.</t>
  </si>
  <si>
    <t>s010</t>
  </si>
  <si>
    <t>Of the 20 remaining participants, 13 consented to chart review (92% male; age mean 46, SD 11 years) and 9 had weekly outcome data available.</t>
  </si>
  <si>
    <t>s011</t>
  </si>
  <si>
    <t>Comparing year 1 to year 2, participants had mean person-week prevalence of any nonbeverage alcohol consumption (eg, hand sanitizer): 9% and 3%; acute alcohol-related harms: 25% and 9%; and seizures: 4% and 1%.</t>
  </si>
  <si>
    <t>s012</t>
  </si>
  <si>
    <t>Mean person-week prevalence of out-of-program drinking was 34% in year 1 and 33% in year 2.</t>
  </si>
  <si>
    <t>s013</t>
  </si>
  <si>
    <t>Still blank</t>
  </si>
  <si>
    <t>Focus groups highlighted MAP improved participants’ health and decreased frequency of nonbeverage alcohol consumption, survival behaviors, and violence.</t>
  </si>
  <si>
    <t>s014</t>
  </si>
  <si>
    <t>Challenges included out-of-program drinking and lack of social programming.</t>
  </si>
  <si>
    <t>s015</t>
  </si>
  <si>
    <t>abstract:conclusions</t>
  </si>
  <si>
    <t>This scattered-site MAP may support positive health and social outcomes for people with severe alcohol use disorder.</t>
  </si>
  <si>
    <t>s016</t>
  </si>
  <si>
    <t>Identified program gaps can be explored to better meet participant needs and reduce out-of-program drinking.</t>
  </si>
  <si>
    <t>s017</t>
  </si>
  <si>
    <t>introduction</t>
  </si>
  <si>
    <t>Adults experiencing homelessness face disproportionate rates of chronic illness, trauma, mental illness, violence, and have higher rates of substance and alcohol use compared to the general population.[1]-[4]</t>
  </si>
  <si>
    <t>s018</t>
  </si>
  <si>
    <t>Within Canada, between 37% to 73% of adults experiencing homelessness engage in heavy episodic or daily drinking (more than 20 standard drinks per day), interfering with their ability to access and maintain housing.[1]-[5]</t>
  </si>
  <si>
    <t>s019</t>
  </si>
  <si>
    <t>People experiencing homelessness and alcohol use disorder face risks of alcohol-related injuries, exposure to extreme environmental elements, theft, or exploitation;[2],[4],[5] people with limited income may need to consume low-cost nonbeverage alcohol (NBA; eg, mouthwash; hand sanitizer) or to engage in theft to obtain alcohol.[4],[6],[7]</t>
  </si>
  <si>
    <t>s020</t>
  </si>
  <si>
    <t>Beyond individual harms, this results in substantial health and social costs, ambulance and emergency department utilization, hospitalizations, and frequent police encounters.[1],[3],[5],[7],[8]</t>
  </si>
  <si>
    <t>s021</t>
  </si>
  <si>
    <t>Heavy alcohol consumption is also associated with increased rates of mental illness, poor physical health, and chronic diseases,[1],[4]-[6] as well as alcohol-related harms including withdrawal, seizures, alcohol-related injuries, and alcohol-related mortality.[3]-[5],[7]</t>
  </si>
  <si>
    <t>s022</t>
  </si>
  <si>
    <t>As a result, people experiencing homelessness and alcohol use disorders are a priority population for equity-seeking health initiatives.</t>
  </si>
  <si>
    <t>s023</t>
  </si>
  <si>
    <t>Managed alcohol programs (MAPs) are harm reduction services for individuals with severe alcohol use disorder, particularly those experiencing homelessness.[2],[5],[9]-[13]</t>
  </si>
  <si>
    <t>s024</t>
  </si>
  <si>
    <t>MAPs provide participants with regular, measured doses of beverage-grade alcohol at scheduled dispensing intervals to prevent withdrawal, reduce binge drinking episodes and public intoxication, and decrease NBA consumption and alcohol-related harms.[1]-[3],[6],[8],[10],[14]</t>
  </si>
  <si>
    <t>s025</t>
  </si>
  <si>
    <t>They often provide housing and primary healthcare services, financial support, cultural programming, social services, and other programming.[2],[8]</t>
  </si>
  <si>
    <t>s026</t>
  </si>
  <si>
    <t>These programs operate using various models including at residential single-sites, day programs, hospital-based, shelter-based, scattered-site (eg, across multiple housing units), or a mix of multiple settings.</t>
  </si>
  <si>
    <t>s027</t>
  </si>
  <si>
    <t>MAP operational guidance documents were published for the province of British Columbia in 2020 [15] and nationally in Canada in 2023. [16]</t>
  </si>
  <si>
    <t>s028</t>
  </si>
  <si>
    <t>In recent years, there has been a rapid increase in the number of MAPs operating in Canada – many catalyzed by the COVID-19 pandemic.</t>
  </si>
  <si>
    <t>s029</t>
  </si>
  <si>
    <t>As of 2024, there were 44 MAPs in Canada operating within 8 provinces and 1 territory. [17]</t>
  </si>
  <si>
    <t>s030</t>
  </si>
  <si>
    <t>MAPs have expanded across Canada more quickly than other jurisdictions; we are aware of few MAPs in international locations, including 2 in USA; 3 in Australia; and 1 in Spain.[18]-[20]</t>
  </si>
  <si>
    <t>s031</t>
  </si>
  <si>
    <t>Limited uptake internationally may be due to several factors, including the need for further evidence evaluating different MAP models in different settings.</t>
  </si>
  <si>
    <t>s032</t>
  </si>
  <si>
    <t>Evidence from a variety of Canadian models suggests MAPs may reduce frequency of binge drinking and NBA consumption, frequency and severity of withdrawal symptoms, and incidence of alcohol-related harms.[5],[7],[8],[10],[17],[21]</t>
  </si>
  <si>
    <t>s033</t>
  </si>
  <si>
    <t>MAP participation is also associated with reduced police encounters.[3],[5],[7],[17],[18],[21]</t>
  </si>
  <si>
    <t>s034</t>
  </si>
  <si>
    <t>Long-term MAP participation (defined by one study as enrollment for more than 2 months), was associated with increased engagement in primary healthcare services. [10]</t>
  </si>
  <si>
    <t>s035</t>
  </si>
  <si>
    <t>MAPs are acceptable to participants, with residential-based models being viewed as dignified services that provide safety, increase perceived self-worth, and sense of control.[3],[4],[9],[12],[22]</t>
  </si>
  <si>
    <t>s036</t>
  </si>
  <si>
    <t>These programs also facilitate opportunities for participants to positively engage with their community, develop therapeutic relationships with healthcare professionals and staff, and build, maintain, and repair family and social relationships.[3],[4],[7],[9],[17],[21]</t>
  </si>
  <si>
    <t>s037</t>
  </si>
  <si>
    <t>Although an emerging evidence-base suggests MAPs are successful in supporting individuals with alcohol use disorder, there is especially limited evidence regarding “scattered-site” models of MAP, with outreach delivery of beverage-grade alcohol to multiple apartment or housing units (often with only 1-2 deliveries per day).</t>
  </si>
  <si>
    <t>s038</t>
  </si>
  <si>
    <t>We are aware of only 4 other MAPs (located within British Columbia and Saskatchewan, Canada) that included scattered-site deliveries, but no published evaluations of scattered-site models.[11],[13],[17]</t>
  </si>
  <si>
    <t>s039</t>
  </si>
  <si>
    <t>A recent scoping review specifically highlighted the need for more research on scattered-site MAP models. [11]</t>
  </si>
  <si>
    <t>s040</t>
  </si>
  <si>
    <t>In April 2020, the Mobile Outreach Street Health (MOSH) program in Halifax, Nova Scotia, Canada established a mixed model (scattered- and single-site) MAP on an emergency basis to support people with severe alcohol use disorder experiencing homelessness.</t>
  </si>
  <si>
    <t>s041</t>
  </si>
  <si>
    <t>This included providing MAP at both a supportive housing residential site and a scattered-site model delivering alcohol to participants’ independent residences and COVID isolation shelters in the community.</t>
  </si>
  <si>
    <t>s042</t>
  </si>
  <si>
    <t>This was established urgently during the first wave of the COVID-19 pandemic, in order to facilitate self-isolation and/or quarantine.[18],[22]</t>
  </si>
  <si>
    <t>s043</t>
  </si>
  <si>
    <t>It is among Canada’s first mixed-scattered site MAP models, and, at the time, there was no national guidance for scattered-site programs.</t>
  </si>
  <si>
    <t>s044</t>
  </si>
  <si>
    <t>It has since expanded beyond its initial scope to continue to be able to support people experiencing homelessness and severe alcohol use disorder in Halifax.</t>
  </si>
  <si>
    <t>s045</t>
  </si>
  <si>
    <t>This evaluation serves to contribute to the emerging evidence-base regarding MAPs, address knowledge gaps surrounding scattered-site MAP delivery, and help inform future implementation of MAP models in other jurisdictions.</t>
  </si>
  <si>
    <t>s046</t>
  </si>
  <si>
    <t>In this study, we aimed to describe MAP participants; summarize program outcomes (ie, out-of-program drinking, NBA consumption, and acute-alcohol related harms including blackouts, falls, physical altercations, seizures, and withdrawal symptoms); and understand stakeholder perceptions of the MAP’s successes and challenges.</t>
  </si>
  <si>
    <t>Homelessness is a persistent and growing problem.</t>
  </si>
  <si>
    <t>What role health systems should play and how that role is incorporated into larger strategic efforts are not well-defined.</t>
  </si>
  <si>
    <t>abstract:objective</t>
  </si>
  <si>
    <t>To compare homelessness among veterans with that in the general population during a 16-year study period before and after implementation of the Ending Veteran Homelessness Initiative, a program to rehouse veterans experiencing homelessness.</t>
  </si>
  <si>
    <t>This national retrospective cohort study using a mixed-methods approach examined annualized administrative (January 1, 2007, to December 31, 2022) and population data prior to (2007-2009) and during (2010-2022) the Ending Veteran Homelessness initiative.</t>
  </si>
  <si>
    <t>Participants included unhoused adults in the US between 2007 and 2022.</t>
  </si>
  <si>
    <t>Enrollment in Veterans Health Administration (VHA) Homeless Program Office components providing housing, case management, and wrap-around clinical and supportive services.</t>
  </si>
  <si>
    <t>Point-in-time (PIT) count data for unhoused veterans and nonveterans during the study period, number of Section 8 housing vouchers provided by Housing and Urban Development–Veterans Administration Supportive Housing, number of community grants awarded by Supportive Services for Veterans and Families, and total number of veterans housed each year.</t>
  </si>
  <si>
    <t>Semistructured interviews with VHA leadership were performed to gain insight into the strategy.</t>
  </si>
  <si>
    <t>In 2022, 33 129 veterans were identified in the PIT count.</t>
  </si>
  <si>
    <t>They were predominantly male (88.7%), and 40.9% were unsheltered.</t>
  </si>
  <si>
    <t>During the active years of the Ending Veteran Homelessness initiative, veteran homelessness decreased 55.3% compared with 8.6% for the general population.</t>
  </si>
  <si>
    <t>The proportion of veterans in this cohort also declined from 11.6% to 5.3%.</t>
  </si>
  <si>
    <t>This change occurred during a shift to “housing first” as agency policy to create low-barrier housing availability.</t>
  </si>
  <si>
    <t>It was also coupled with substantial growth in housing vouchers, grants to community partner agencies, and growth in VHA clinical and social programming to provide homeless-tailored wrap-around services and support once participants were housed.</t>
  </si>
  <si>
    <t>Key respondent interviews consistently cited the shift to housing first, the engagement with community partners, and use of real-time data as critical.</t>
  </si>
  <si>
    <t>In this cohort study of the federal Ending Veteran Homelessness initiative, after program implementation, there was a substantially greater decrease in homelessness among veterans than in the general population.</t>
  </si>
  <si>
    <t>These findings suggest an important role for health systems in addressing complex social determinants of health.</t>
  </si>
  <si>
    <t>While some conditions unique to the VHA facilitated the change in homelessness, lessons learned here are applicable to other health systems.</t>
  </si>
  <si>
    <t>Homelessness is a persistent problem in the US despite long-standing federal, state, and community efforts to address this need.</t>
  </si>
  <si>
    <t>While much of the focus on people who are unhoused centers around addiction, mental illnesses, physical disabilities, and chronic diseases that may be associated with individual homelessness,[1] structural factors—the lack of affordable housing, livable wages, or access to services—play an equally important role.[2]</t>
  </si>
  <si>
    <t>In 2010, the US Interagency Council on Homelessness, representing 19 federal agencies, released Opening Doors: Federal Strategic Plan to Prevent and End Homelessness.[3]</t>
  </si>
  <si>
    <t>One of the hallmarks of their plan was the adoption of a systems approach, including the adoption of “housing first” as a policy as opposed to a preferred program model.</t>
  </si>
  <si>
    <t>Housing first emphasizes low-barrier, rapid, and streamlined access to permanent supportive housing.</t>
  </si>
  <si>
    <t>This contrasts with the historic approach of requiring unhoused people to meet threshold criteria (eg, sobriety, employment) prior to housing being made available.</t>
  </si>
  <si>
    <t>Supportive services, including substance use services, mental health care, and job training, among others, are then provided and more easily accessed once participants are housed.</t>
  </si>
  <si>
    <t>Other elements of the federal plan called for increased collaboration to leverage and integrate resources of mainstream systems for housing, employment, education, health care, and income supports as well as using data to measure and improve system and program performance.[3]</t>
  </si>
  <si>
    <t>The US Department of Veterans Affairs (VA), as one of the participating federal agencies, actively implemented this plan with the goal of eliminating veteran homelessness by 2015.[4]</t>
  </si>
  <si>
    <t>The Ending Veteran Homelessness initiative built on and expanded VA homeless programming to reflect a continuum of wrap-around services that supported placement and retention in permanent supportive housing.</t>
  </si>
  <si>
    <t>These included outreach and engagement services; homelessness prevention; emergency and transitional housing; the US Housing and Urban Development–Veterans Administration Supportive Housing program (HUD-VASH), which links HUD-provided Section 8 housing vouchers with VA-supported case management services and expanded and tailored physical, mental, and substance use disorders care; and access to additional social determinants of health interventions (food and income security, justice programming) (Figure 1).</t>
  </si>
  <si>
    <t>Key strategies of the Ending Veteran Homelessness initiative were the adoption of housing first as an agency policy and emphasizing partnerships with other federal agencies, state and local governments, and community agencies as operational partners.</t>
  </si>
  <si>
    <t>In this report, we present data from a mixed-methods analysis to better understand the VA’s relative success in addressing the social determinants of housing security and reducing veteran homelessness.</t>
  </si>
  <si>
    <t>While the impact of the substantial financial support of this effort cannot be overstated, the specific role of policy changes, programming, community engagement, and the mobilization of an integrated health system to address social determinants of health needs are discussed.</t>
  </si>
  <si>
    <t>To examine whether randomization to permanent supportive housing (PSH) versus usual care reduces the use of acute health care and other services among chronically homeless high users of county‐funded services.</t>
  </si>
  <si>
    <t>Between 2015 and 2019, we assessed service use from Santa Clara County, CA, administrative claims data for all county‐funded health care, jail and shelter, and mortality.</t>
  </si>
  <si>
    <t>We conducted a randomized controlled trial among chronically homeless high users of multiple systems.</t>
  </si>
  <si>
    <t>We compared postrandomization outcomes from county‐funded systems using multivariate regression analysis.</t>
  </si>
  <si>
    <t>We extracted encounter data from an integrated database capturing health care at county‐funded facilities, shelter and jails, county housing placement, and death certificates.</t>
  </si>
  <si>
    <t>We enrolled 423 participants (199 intervention; 224 control).</t>
  </si>
  <si>
    <t>Eighty‐six percent of those randomized to PSH received housing compared with 36 percent in usual care.</t>
  </si>
  <si>
    <t>On average, the 169 individuals housed by the PSH intervention have remained housed for 28.8 months (92.9 percent of the study follow‐up period).</t>
  </si>
  <si>
    <t>Intervention group members had lower rates of psychiatric ED visits IRR 0.62; 95% CI [0.43, 0.91] and shelter days IRR 0.30; 95% CI [0.17, 0.53], and higher rates of ambulatory mental health services use IRR 1.84; 95% CI [1.43, 2.37] compared to controls.</t>
  </si>
  <si>
    <t>We found no differences in total ED or inpatient use, or jail.</t>
  </si>
  <si>
    <t>Seventy (37 treatment; 33 control) participants died.</t>
  </si>
  <si>
    <t>The intervention placed and retained frequent user, chronically homeless individuals in housing.</t>
  </si>
  <si>
    <t>It decreased psychiatric ED visits and shelter use, and increased outpatient mental health care, but not medical ED visits or hospitalizations.</t>
  </si>
  <si>
    <t>Limitations included more than one‐third of usual care participants received another form of subsidized housing, potentially biasing results to the null, and loss of power due to high death rates.</t>
  </si>
  <si>
    <t>PSH can house high‐risk individuals and reduce emergent psychiatric services and shelter use.</t>
  </si>
  <si>
    <t>Reductions in hospitalizations may be more difficult to realize.</t>
  </si>
  <si>
    <t>Homelessness is associated with high use of acute health care services, including emergency department (ED)[1], [2] and inpatient care.[3]</t>
  </si>
  <si>
    <t>Among homeless individuals, a small group (referred to as “frequent users”) account for a large proportion of all acute service use.[4]</t>
  </si>
  <si>
    <t>Most of these frequent users are chronically homeless individuals with tri‐morbid chronic physical and mental health conditions and substance use disorders.[5], [6], [7]</t>
  </si>
  <si>
    <t>In addition to high rates of use of ED and inpatient care, many have high use of other publicly funded services (jail, homeless shelters)[8], [9] and low use of longitudinal, outpatient health care.</t>
  </si>
  <si>
    <t>Interventions to maintain housing and reduce acute care service use in this population are a key policy interest for payers and providers.</t>
  </si>
  <si>
    <t>Permanent supportive housing (PSH), defined as subsidized housing with closely linked, voluntary supportive services (eg, case management, physical and mental health services, substance use treatment services) provides permanent housing for people with chronic homelessness and behavioral health conditions.[10]</t>
  </si>
  <si>
    <t>PSH is offered on a “housing first”[11] basis, meaning clients are not required to be sober or engage in treatment.</t>
  </si>
  <si>
    <t>Most of the literature evaluating the effect of PSH on health care and other service utilization has used pre–post, noncontrolled, study designs.[12], [13]</t>
  </si>
  <si>
    <t>While these have suggested large reductions in service use, they face threats to internal validity.</t>
  </si>
  <si>
    <t>By including only people who have enrolled successfully in PSH, these studies do not provide insights into reach.[14], [15]</t>
  </si>
  <si>
    <t>Because they focus on change in utilization of a group selected on the basis of high use, they are susceptible to regression to the mean.</t>
  </si>
  <si>
    <t>Santa Clara, CA created 112 units of PSH earmarked for high users of multiple public systems of care; over time, the project increased to 130 units.</t>
  </si>
  <si>
    <t>As the population who met criteria greatly exceeded PSH supply, we utilized lottery conditions to conduct a randomized controlled trial to examine the reach and effect on service use of PSH comparing those randomized to PSH versus usual care.</t>
  </si>
  <si>
    <t>To evaluate the effect of enrolling in Supportive Services for Veteran Families (SSVF) on short‐ and long‐term housing outcomes among Veterans experiencing housing instability.</t>
  </si>
  <si>
    <t>We analyzed data from the Department of Veterans Affairs (VA) electronic health record (EHR) between October 2015 and December 2018 using the target trial emulation framework.</t>
  </si>
  <si>
    <t>Veterans were included in one or more trials if they were 18 years or older, had recent evidence of housing instability, had received care in VA for at least 1 year, and had never before enrolled in SSVF.</t>
  </si>
  <si>
    <t>Patients who enrolled in SSVF after meeting eligibility were assigned to the treatment group, while patients who did not enroll in SSVF were assigned to a control group.</t>
  </si>
  <si>
    <t>We extracted patients' housing outcomes from the EHR and modeled the probability of being unstably housed each day while accounting for confounders and irregular visit times.</t>
  </si>
  <si>
    <t>We extracted housing status and covariates from the VA Corporate Data Warehouse.</t>
  </si>
  <si>
    <t>Housing instability was ascertained using a combination of structured data elements and natural language processing.</t>
  </si>
  <si>
    <t>We identified 238,059 unique patients who met the eligibility criteria for one or more trials.</t>
  </si>
  <si>
    <t>The risk of housing instability decreased in both arms over the three years after initiating a trial but was lower among SSVF enrollees, with a risk difference of −12.9% (95% confidence band −14.6%, −11.2%) on Day 120 and an attenuated difference of −2.4% (−4.0%, −0.7%) on Day 1095.</t>
  </si>
  <si>
    <t>SSVF is one of the largest rapid rehousing and homelessness prevention programs in the nation.</t>
  </si>
  <si>
    <t>We found that SSVF improves housing outcomes over the three years following enrollment, but the effect reduces over time.</t>
  </si>
  <si>
    <t>These findings can inform policy and program design for improving housing outcomes for homeless‐experienced individuals.</t>
  </si>
  <si>
    <t>Homelessness is a significant public health concern.</t>
  </si>
  <si>
    <t>Lack of safe, stable housing has been shown to be associated with adverse health outcomes and decreased quality of life.[1], [2], [3]</t>
  </si>
  <si>
    <t>In the United States, Veterans comprise a significant portion of the homeless population.[4]</t>
  </si>
  <si>
    <t>The Department of Veterans Affairs (VA) has implemented several programs that assist Veterans experiencing homelessness or at risk of becoming homeless.</t>
  </si>
  <si>
    <t>One major program is Supportive Services for Veteran Families (SSVF), which offers various rapid rehousing and homelessness prevention services, including financial help, to individual Veterans and their households.[5]</t>
  </si>
  <si>
    <t>Several studies offer evidence supporting short‐term effectiveness for particular components of SSVF (e.g., temporary financial assistance) on health and housing outcomes such as achieving and maintaining stable housing,[6], [7], [8], [9], [10], [11], [12] showing that most Veterans enrolled in SSVF exit the program to stable housing and that temporary financial assistance leads to improved housing stability at the time of program exit and up to 1.5 years after program entry.[6], [10]</t>
  </si>
  <si>
    <t>However, no studies have examined whether SSVF as a whole (i.e., enrolling in SSVF compared to not enrolling in SSVF) is effective in improving housing outcomes for Veterans experiencing housing instability.</t>
  </si>
  <si>
    <t>Researchers and policymakers seeking to evaluate programs like SSVF are restricted by a lack of large, prospective, randomized studies with long‐term follow‐up.</t>
  </si>
  <si>
    <t>While randomized clinical trials (RCTs) are the gold standard study design for assessing the effect of an intervention, they are challenging to conduct for real‐world programs such as SSVF.</t>
  </si>
  <si>
    <t>An alternative to conducting an RCT is to emulate one using observational data such as health data recorded in the electronic health record (EHR).[13]</t>
  </si>
  <si>
    <t>The objective of this study was to assess the impact of enrolling in SSVF on a Veteran's risk of being unstably housed during the three years following an episode of housing instability.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</si>
</sst>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D9D9D9"/>
        <bgColor rgb="FFD9D9D9"/>
      </patternFill>
    </fill>
    <fill>
      <patternFill patternType="solid">
        <fgColor rgb="FFFFFF99"/>
        <bgColor rgb="FFFFFF99"/>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bottom" wrapText="0"/>
    </xf>
    <xf borderId="0" fillId="0" fontId="2" numFmtId="0" xfId="0" applyAlignment="1" applyFont="1">
      <alignment shrinkToFit="0" vertical="top" wrapText="1"/>
    </xf>
    <xf borderId="0" fillId="0" fontId="2" numFmtId="0" xfId="0" applyAlignment="1" applyFont="1">
      <alignment readingOrder="0" shrinkToFit="0" vertical="bottom" wrapText="0"/>
    </xf>
    <xf borderId="1" fillId="3" fontId="2" numFmtId="0" xfId="0" applyAlignment="1" applyBorder="1" applyFill="1" applyFont="1">
      <alignment readingOrder="0"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12.0"/>
    <col customWidth="1" min="3" max="26" width="8.71"/>
  </cols>
  <sheetData>
    <row r="1">
      <c r="A1" s="1" t="s">
        <v>0</v>
      </c>
    </row>
    <row r="2">
      <c r="A2" s="3"/>
    </row>
    <row r="3">
      <c r="A3" s="1" t="s">
        <v>3</v>
      </c>
    </row>
    <row r="4">
      <c r="A4" s="3" t="s">
        <v>6</v>
      </c>
    </row>
    <row r="5">
      <c r="A5" s="3" t="s">
        <v>9</v>
      </c>
    </row>
    <row r="6">
      <c r="A6" s="3" t="s">
        <v>13</v>
      </c>
    </row>
    <row r="7">
      <c r="A7" s="3" t="s">
        <v>15</v>
      </c>
    </row>
    <row r="8">
      <c r="A8" s="5" t="s">
        <v>19</v>
      </c>
    </row>
    <row r="9">
      <c r="A9" s="3"/>
    </row>
    <row r="10">
      <c r="A10" s="1" t="s">
        <v>24</v>
      </c>
    </row>
    <row r="11">
      <c r="A11" s="3" t="s">
        <v>28</v>
      </c>
    </row>
    <row r="12">
      <c r="A12" s="3" t="s">
        <v>31</v>
      </c>
    </row>
    <row r="13">
      <c r="A13" s="3" t="s">
        <v>34</v>
      </c>
    </row>
    <row r="14">
      <c r="A14" s="3" t="s">
        <v>36</v>
      </c>
    </row>
    <row r="15">
      <c r="A15" s="3"/>
    </row>
    <row r="16">
      <c r="A16" s="1" t="s">
        <v>40</v>
      </c>
    </row>
    <row r="17">
      <c r="A17" s="3" t="s">
        <v>42</v>
      </c>
    </row>
    <row r="18">
      <c r="A18" s="3" t="s">
        <v>43</v>
      </c>
    </row>
    <row r="19">
      <c r="A19" s="3"/>
    </row>
    <row r="20">
      <c r="A20" s="1" t="s">
        <v>44</v>
      </c>
    </row>
    <row r="21" ht="15.75" customHeight="1">
      <c r="A21" s="3" t="s">
        <v>46</v>
      </c>
      <c r="B21" s="3">
        <f>ROWS(Labels!F2:F131)</f>
        <v>130</v>
      </c>
    </row>
    <row r="22" ht="15.75" customHeight="1">
      <c r="A22" s="3" t="s">
        <v>59</v>
      </c>
      <c r="B22" s="3">
        <f>COUNTIF(Labels!F2:F131,"CLAIM")</f>
        <v>39</v>
      </c>
    </row>
    <row r="23" ht="15.75" customHeight="1">
      <c r="A23" s="3" t="s">
        <v>45</v>
      </c>
      <c r="B23" s="3">
        <f>COUNTIF(Labels!F2:F131,"BACKGROUND")</f>
        <v>91</v>
      </c>
    </row>
    <row r="24" ht="15.75" customHeight="1">
      <c r="A24" s="3" t="s">
        <v>73</v>
      </c>
      <c r="B24" s="3">
        <f>COUNTBLANK(Labels!F2:F131)</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4.57"/>
    <col customWidth="1" min="3" max="3" width="11.0"/>
    <col customWidth="1" min="4" max="4" width="20.0"/>
    <col customWidth="1" min="5" max="5" width="90.0"/>
    <col customWidth="1" min="6" max="6" width="18.29"/>
    <col customWidth="1" min="7" max="7" width="40.0"/>
    <col customWidth="1" min="8" max="26" width="8.71"/>
  </cols>
  <sheetData>
    <row r="1">
      <c r="A1" s="2" t="s">
        <v>2</v>
      </c>
      <c r="B1" s="2" t="s">
        <v>1</v>
      </c>
      <c r="C1" s="2" t="s">
        <v>8</v>
      </c>
      <c r="D1" s="2" t="s">
        <v>10</v>
      </c>
      <c r="E1" s="2" t="s">
        <v>12</v>
      </c>
      <c r="F1" s="2" t="s">
        <v>14</v>
      </c>
      <c r="G1" s="2" t="s">
        <v>17</v>
      </c>
    </row>
    <row r="2">
      <c r="A2" s="4" t="s">
        <v>16</v>
      </c>
      <c r="B2" s="4" t="s">
        <v>11</v>
      </c>
      <c r="C2" s="4" t="s">
        <v>22</v>
      </c>
      <c r="D2" s="4" t="s">
        <v>25</v>
      </c>
      <c r="E2" s="4" t="s">
        <v>27</v>
      </c>
      <c r="F2" s="6" t="s">
        <v>45</v>
      </c>
      <c r="G2" s="7"/>
    </row>
    <row r="3">
      <c r="A3" s="4" t="s">
        <v>16</v>
      </c>
      <c r="B3" s="4" t="s">
        <v>11</v>
      </c>
      <c r="C3" s="4" t="s">
        <v>47</v>
      </c>
      <c r="D3" s="4" t="s">
        <v>25</v>
      </c>
      <c r="E3" s="4" t="s">
        <v>48</v>
      </c>
      <c r="F3" s="6" t="s">
        <v>45</v>
      </c>
      <c r="G3" s="7"/>
    </row>
    <row r="4">
      <c r="A4" s="4" t="s">
        <v>16</v>
      </c>
      <c r="B4" s="4" t="s">
        <v>11</v>
      </c>
      <c r="C4" s="4" t="s">
        <v>49</v>
      </c>
      <c r="D4" s="4" t="s">
        <v>25</v>
      </c>
      <c r="E4" s="4" t="s">
        <v>50</v>
      </c>
      <c r="F4" s="6" t="s">
        <v>45</v>
      </c>
      <c r="G4" s="7"/>
    </row>
    <row r="5">
      <c r="A5" s="4" t="s">
        <v>16</v>
      </c>
      <c r="B5" s="4" t="s">
        <v>11</v>
      </c>
      <c r="C5" s="4" t="s">
        <v>51</v>
      </c>
      <c r="D5" s="4" t="s">
        <v>25</v>
      </c>
      <c r="E5" s="4" t="s">
        <v>52</v>
      </c>
      <c r="F5" s="6" t="s">
        <v>45</v>
      </c>
      <c r="G5" s="7"/>
    </row>
    <row r="6">
      <c r="A6" s="4" t="s">
        <v>16</v>
      </c>
      <c r="B6" s="4" t="s">
        <v>11</v>
      </c>
      <c r="C6" s="4" t="s">
        <v>53</v>
      </c>
      <c r="D6" s="4" t="s">
        <v>54</v>
      </c>
      <c r="E6" s="4" t="s">
        <v>55</v>
      </c>
      <c r="F6" s="6" t="s">
        <v>45</v>
      </c>
      <c r="G6" s="7"/>
    </row>
    <row r="7">
      <c r="A7" s="4" t="s">
        <v>16</v>
      </c>
      <c r="B7" s="4" t="s">
        <v>11</v>
      </c>
      <c r="C7" s="4" t="s">
        <v>56</v>
      </c>
      <c r="D7" s="4" t="s">
        <v>54</v>
      </c>
      <c r="E7" s="4" t="s">
        <v>57</v>
      </c>
      <c r="F7" s="6" t="s">
        <v>45</v>
      </c>
      <c r="G7" s="7"/>
    </row>
    <row r="8">
      <c r="A8" s="4" t="s">
        <v>16</v>
      </c>
      <c r="B8" s="4" t="s">
        <v>11</v>
      </c>
      <c r="C8" s="4" t="s">
        <v>58</v>
      </c>
      <c r="D8" s="4" t="s">
        <v>54</v>
      </c>
      <c r="E8" s="4" t="s">
        <v>60</v>
      </c>
      <c r="F8" s="6" t="s">
        <v>45</v>
      </c>
      <c r="G8" s="7"/>
    </row>
    <row r="9">
      <c r="A9" s="4" t="s">
        <v>16</v>
      </c>
      <c r="B9" s="4" t="s">
        <v>11</v>
      </c>
      <c r="C9" s="4" t="s">
        <v>61</v>
      </c>
      <c r="D9" s="4" t="s">
        <v>62</v>
      </c>
      <c r="E9" s="4" t="s">
        <v>63</v>
      </c>
      <c r="F9" s="6" t="s">
        <v>59</v>
      </c>
      <c r="G9" s="7"/>
    </row>
    <row r="10">
      <c r="A10" s="4" t="s">
        <v>16</v>
      </c>
      <c r="B10" s="4" t="s">
        <v>11</v>
      </c>
      <c r="C10" s="4" t="s">
        <v>64</v>
      </c>
      <c r="D10" s="4" t="s">
        <v>62</v>
      </c>
      <c r="E10" s="4" t="s">
        <v>65</v>
      </c>
      <c r="F10" s="6" t="s">
        <v>59</v>
      </c>
      <c r="G10" s="7"/>
    </row>
    <row r="11">
      <c r="A11" s="4" t="s">
        <v>16</v>
      </c>
      <c r="B11" s="4" t="s">
        <v>11</v>
      </c>
      <c r="C11" s="4" t="s">
        <v>66</v>
      </c>
      <c r="D11" s="4" t="s">
        <v>62</v>
      </c>
      <c r="E11" s="4" t="s">
        <v>67</v>
      </c>
      <c r="F11" s="6" t="s">
        <v>59</v>
      </c>
      <c r="G11" s="7"/>
    </row>
    <row r="12">
      <c r="A12" s="4" t="s">
        <v>16</v>
      </c>
      <c r="B12" s="4" t="s">
        <v>11</v>
      </c>
      <c r="C12" s="4" t="s">
        <v>68</v>
      </c>
      <c r="D12" s="4" t="s">
        <v>62</v>
      </c>
      <c r="E12" s="4" t="s">
        <v>69</v>
      </c>
      <c r="F12" s="6" t="s">
        <v>59</v>
      </c>
      <c r="G12" s="7"/>
    </row>
    <row r="13">
      <c r="A13" s="4" t="s">
        <v>16</v>
      </c>
      <c r="B13" s="4" t="s">
        <v>11</v>
      </c>
      <c r="C13" s="4" t="s">
        <v>70</v>
      </c>
      <c r="D13" s="4" t="s">
        <v>62</v>
      </c>
      <c r="E13" s="4" t="s">
        <v>71</v>
      </c>
      <c r="F13" s="6" t="s">
        <v>59</v>
      </c>
      <c r="G13" s="7"/>
    </row>
    <row r="14">
      <c r="A14" s="4" t="s">
        <v>16</v>
      </c>
      <c r="B14" s="4" t="s">
        <v>11</v>
      </c>
      <c r="C14" s="4" t="s">
        <v>72</v>
      </c>
      <c r="D14" s="4" t="s">
        <v>62</v>
      </c>
      <c r="E14" s="4" t="s">
        <v>74</v>
      </c>
      <c r="F14" s="6" t="s">
        <v>59</v>
      </c>
      <c r="G14" s="7"/>
    </row>
    <row r="15">
      <c r="A15" s="4" t="s">
        <v>16</v>
      </c>
      <c r="B15" s="4" t="s">
        <v>11</v>
      </c>
      <c r="C15" s="4" t="s">
        <v>75</v>
      </c>
      <c r="D15" s="4" t="s">
        <v>62</v>
      </c>
      <c r="E15" s="4" t="s">
        <v>76</v>
      </c>
      <c r="F15" s="6" t="s">
        <v>59</v>
      </c>
      <c r="G15" s="7"/>
    </row>
    <row r="16">
      <c r="A16" s="4" t="s">
        <v>16</v>
      </c>
      <c r="B16" s="4" t="s">
        <v>11</v>
      </c>
      <c r="C16" s="4" t="s">
        <v>77</v>
      </c>
      <c r="D16" s="4" t="s">
        <v>78</v>
      </c>
      <c r="E16" s="4" t="s">
        <v>79</v>
      </c>
      <c r="F16" s="6" t="s">
        <v>59</v>
      </c>
      <c r="G16" s="7"/>
    </row>
    <row r="17">
      <c r="A17" s="4" t="s">
        <v>16</v>
      </c>
      <c r="B17" s="4" t="s">
        <v>11</v>
      </c>
      <c r="C17" s="4" t="s">
        <v>80</v>
      </c>
      <c r="D17" s="4" t="s">
        <v>78</v>
      </c>
      <c r="E17" s="4" t="s">
        <v>81</v>
      </c>
      <c r="F17" s="6" t="s">
        <v>59</v>
      </c>
      <c r="G17" s="7"/>
    </row>
    <row r="18">
      <c r="A18" s="4" t="s">
        <v>16</v>
      </c>
      <c r="B18" s="4" t="s">
        <v>11</v>
      </c>
      <c r="C18" s="4" t="s">
        <v>82</v>
      </c>
      <c r="D18" s="4" t="s">
        <v>83</v>
      </c>
      <c r="E18" s="4" t="s">
        <v>84</v>
      </c>
      <c r="F18" s="6" t="s">
        <v>45</v>
      </c>
      <c r="G18" s="7"/>
    </row>
    <row r="19">
      <c r="A19" s="4" t="s">
        <v>16</v>
      </c>
      <c r="B19" s="4" t="s">
        <v>11</v>
      </c>
      <c r="C19" s="4" t="s">
        <v>85</v>
      </c>
      <c r="D19" s="4" t="s">
        <v>83</v>
      </c>
      <c r="E19" s="4" t="s">
        <v>86</v>
      </c>
      <c r="F19" s="6" t="s">
        <v>45</v>
      </c>
      <c r="G19" s="7"/>
    </row>
    <row r="20">
      <c r="A20" s="4" t="s">
        <v>16</v>
      </c>
      <c r="B20" s="4" t="s">
        <v>11</v>
      </c>
      <c r="C20" s="4" t="s">
        <v>87</v>
      </c>
      <c r="D20" s="4" t="s">
        <v>83</v>
      </c>
      <c r="E20" s="4" t="s">
        <v>88</v>
      </c>
      <c r="F20" s="6" t="s">
        <v>45</v>
      </c>
      <c r="G20" s="7"/>
    </row>
    <row r="21" ht="15.75" customHeight="1">
      <c r="A21" s="4" t="s">
        <v>16</v>
      </c>
      <c r="B21" s="4" t="s">
        <v>11</v>
      </c>
      <c r="C21" s="4" t="s">
        <v>89</v>
      </c>
      <c r="D21" s="4" t="s">
        <v>83</v>
      </c>
      <c r="E21" s="4" t="s">
        <v>90</v>
      </c>
      <c r="F21" s="6" t="s">
        <v>45</v>
      </c>
      <c r="G21" s="7"/>
    </row>
    <row r="22" ht="15.75" customHeight="1">
      <c r="A22" s="4" t="s">
        <v>16</v>
      </c>
      <c r="B22" s="4" t="s">
        <v>11</v>
      </c>
      <c r="C22" s="4" t="s">
        <v>91</v>
      </c>
      <c r="D22" s="4" t="s">
        <v>83</v>
      </c>
      <c r="E22" s="4" t="s">
        <v>92</v>
      </c>
      <c r="F22" s="6" t="s">
        <v>45</v>
      </c>
      <c r="G22" s="7"/>
    </row>
    <row r="23" ht="15.75" customHeight="1">
      <c r="A23" s="4" t="s">
        <v>16</v>
      </c>
      <c r="B23" s="4" t="s">
        <v>11</v>
      </c>
      <c r="C23" s="4" t="s">
        <v>93</v>
      </c>
      <c r="D23" s="4" t="s">
        <v>83</v>
      </c>
      <c r="E23" s="4" t="s">
        <v>94</v>
      </c>
      <c r="F23" s="6" t="s">
        <v>59</v>
      </c>
      <c r="G23" s="7"/>
    </row>
    <row r="24" ht="15.75" customHeight="1">
      <c r="A24" s="4" t="s">
        <v>16</v>
      </c>
      <c r="B24" s="4" t="s">
        <v>11</v>
      </c>
      <c r="C24" s="4" t="s">
        <v>95</v>
      </c>
      <c r="D24" s="4" t="s">
        <v>83</v>
      </c>
      <c r="E24" s="4" t="s">
        <v>96</v>
      </c>
      <c r="F24" s="6" t="s">
        <v>45</v>
      </c>
      <c r="G24" s="7"/>
    </row>
    <row r="25" ht="15.75" customHeight="1">
      <c r="A25" s="4" t="s">
        <v>16</v>
      </c>
      <c r="B25" s="4" t="s">
        <v>11</v>
      </c>
      <c r="C25" s="4" t="s">
        <v>97</v>
      </c>
      <c r="D25" s="4" t="s">
        <v>83</v>
      </c>
      <c r="E25" s="4" t="s">
        <v>98</v>
      </c>
      <c r="F25" s="6" t="s">
        <v>45</v>
      </c>
      <c r="G25" s="7"/>
    </row>
    <row r="26" ht="15.75" customHeight="1">
      <c r="A26" s="4" t="s">
        <v>16</v>
      </c>
      <c r="B26" s="4" t="s">
        <v>11</v>
      </c>
      <c r="C26" s="4" t="s">
        <v>99</v>
      </c>
      <c r="D26" s="4" t="s">
        <v>83</v>
      </c>
      <c r="E26" s="4" t="s">
        <v>100</v>
      </c>
      <c r="F26" s="6" t="s">
        <v>45</v>
      </c>
      <c r="G26" s="7"/>
    </row>
    <row r="27" ht="15.75" customHeight="1">
      <c r="A27" s="4" t="s">
        <v>16</v>
      </c>
      <c r="B27" s="4" t="s">
        <v>11</v>
      </c>
      <c r="C27" s="4" t="s">
        <v>101</v>
      </c>
      <c r="D27" s="4" t="s">
        <v>83</v>
      </c>
      <c r="E27" s="4" t="s">
        <v>102</v>
      </c>
      <c r="F27" s="6" t="s">
        <v>45</v>
      </c>
      <c r="G27" s="7"/>
    </row>
    <row r="28" ht="15.75" customHeight="1">
      <c r="A28" s="4" t="s">
        <v>16</v>
      </c>
      <c r="B28" s="4" t="s">
        <v>11</v>
      </c>
      <c r="C28" s="4" t="s">
        <v>103</v>
      </c>
      <c r="D28" s="4" t="s">
        <v>83</v>
      </c>
      <c r="E28" s="4" t="s">
        <v>104</v>
      </c>
      <c r="F28" s="6" t="s">
        <v>45</v>
      </c>
      <c r="G28" s="7"/>
    </row>
    <row r="29" ht="15.75" customHeight="1">
      <c r="A29" s="4" t="s">
        <v>16</v>
      </c>
      <c r="B29" s="4" t="s">
        <v>11</v>
      </c>
      <c r="C29" s="4" t="s">
        <v>105</v>
      </c>
      <c r="D29" s="4" t="s">
        <v>83</v>
      </c>
      <c r="E29" s="4" t="s">
        <v>106</v>
      </c>
      <c r="F29" s="6" t="s">
        <v>45</v>
      </c>
      <c r="G29" s="7"/>
    </row>
    <row r="30" ht="15.75" customHeight="1">
      <c r="A30" s="4" t="s">
        <v>16</v>
      </c>
      <c r="B30" s="4" t="s">
        <v>11</v>
      </c>
      <c r="C30" s="4" t="s">
        <v>107</v>
      </c>
      <c r="D30" s="4" t="s">
        <v>83</v>
      </c>
      <c r="E30" s="4" t="s">
        <v>108</v>
      </c>
      <c r="F30" s="6" t="s">
        <v>45</v>
      </c>
      <c r="G30" s="7"/>
    </row>
    <row r="31" ht="15.75" customHeight="1">
      <c r="A31" s="4" t="s">
        <v>16</v>
      </c>
      <c r="B31" s="4" t="s">
        <v>11</v>
      </c>
      <c r="C31" s="4" t="s">
        <v>109</v>
      </c>
      <c r="D31" s="4" t="s">
        <v>83</v>
      </c>
      <c r="E31" s="4" t="s">
        <v>110</v>
      </c>
      <c r="F31" s="6" t="s">
        <v>45</v>
      </c>
      <c r="G31" s="7"/>
    </row>
    <row r="32" ht="15.75" customHeight="1">
      <c r="A32" s="4" t="s">
        <v>16</v>
      </c>
      <c r="B32" s="4" t="s">
        <v>11</v>
      </c>
      <c r="C32" s="4" t="s">
        <v>111</v>
      </c>
      <c r="D32" s="4" t="s">
        <v>83</v>
      </c>
      <c r="E32" s="4" t="s">
        <v>112</v>
      </c>
      <c r="F32" s="6" t="s">
        <v>45</v>
      </c>
      <c r="G32" s="7"/>
    </row>
    <row r="33" ht="15.75" customHeight="1">
      <c r="A33" s="4" t="s">
        <v>16</v>
      </c>
      <c r="B33" s="4" t="s">
        <v>11</v>
      </c>
      <c r="C33" s="4" t="s">
        <v>113</v>
      </c>
      <c r="D33" s="4" t="s">
        <v>83</v>
      </c>
      <c r="E33" s="4" t="s">
        <v>114</v>
      </c>
      <c r="F33" s="6" t="s">
        <v>45</v>
      </c>
      <c r="G33" s="7"/>
    </row>
    <row r="34" ht="15.75" customHeight="1">
      <c r="A34" s="4" t="s">
        <v>16</v>
      </c>
      <c r="B34" s="4" t="s">
        <v>11</v>
      </c>
      <c r="C34" s="4" t="s">
        <v>115</v>
      </c>
      <c r="D34" s="4" t="s">
        <v>83</v>
      </c>
      <c r="E34" s="4" t="s">
        <v>116</v>
      </c>
      <c r="F34" s="6" t="s">
        <v>45</v>
      </c>
      <c r="G34" s="7"/>
    </row>
    <row r="35" ht="15.75" customHeight="1">
      <c r="A35" s="4" t="s">
        <v>16</v>
      </c>
      <c r="B35" s="4" t="s">
        <v>11</v>
      </c>
      <c r="C35" s="4" t="s">
        <v>117</v>
      </c>
      <c r="D35" s="4" t="s">
        <v>83</v>
      </c>
      <c r="E35" s="4" t="s">
        <v>118</v>
      </c>
      <c r="F35" s="6" t="s">
        <v>45</v>
      </c>
      <c r="G35" s="7"/>
    </row>
    <row r="36" ht="15.75" customHeight="1">
      <c r="A36" s="4" t="s">
        <v>16</v>
      </c>
      <c r="B36" s="4" t="s">
        <v>11</v>
      </c>
      <c r="C36" s="4" t="s">
        <v>119</v>
      </c>
      <c r="D36" s="4" t="s">
        <v>83</v>
      </c>
      <c r="E36" s="4" t="s">
        <v>120</v>
      </c>
      <c r="F36" s="6" t="s">
        <v>45</v>
      </c>
      <c r="G36" s="7"/>
    </row>
    <row r="37" ht="15.75" customHeight="1">
      <c r="A37" s="4" t="s">
        <v>16</v>
      </c>
      <c r="B37" s="4" t="s">
        <v>11</v>
      </c>
      <c r="C37" s="4" t="s">
        <v>121</v>
      </c>
      <c r="D37" s="4" t="s">
        <v>83</v>
      </c>
      <c r="E37" s="4" t="s">
        <v>122</v>
      </c>
      <c r="F37" s="6" t="s">
        <v>45</v>
      </c>
      <c r="G37" s="7"/>
    </row>
    <row r="38" ht="15.75" customHeight="1">
      <c r="A38" s="4" t="s">
        <v>16</v>
      </c>
      <c r="B38" s="4" t="s">
        <v>11</v>
      </c>
      <c r="C38" s="4" t="s">
        <v>123</v>
      </c>
      <c r="D38" s="4" t="s">
        <v>83</v>
      </c>
      <c r="E38" s="4" t="s">
        <v>124</v>
      </c>
      <c r="F38" s="6" t="s">
        <v>45</v>
      </c>
      <c r="G38" s="7"/>
    </row>
    <row r="39" ht="15.75" customHeight="1">
      <c r="A39" s="4" t="s">
        <v>16</v>
      </c>
      <c r="B39" s="4" t="s">
        <v>11</v>
      </c>
      <c r="C39" s="4" t="s">
        <v>125</v>
      </c>
      <c r="D39" s="4" t="s">
        <v>83</v>
      </c>
      <c r="E39" s="4" t="s">
        <v>126</v>
      </c>
      <c r="F39" s="6" t="s">
        <v>45</v>
      </c>
      <c r="G39" s="7"/>
    </row>
    <row r="40" ht="15.75" customHeight="1">
      <c r="A40" s="4" t="s">
        <v>16</v>
      </c>
      <c r="B40" s="4" t="s">
        <v>11</v>
      </c>
      <c r="C40" s="4" t="s">
        <v>127</v>
      </c>
      <c r="D40" s="4" t="s">
        <v>83</v>
      </c>
      <c r="E40" s="4" t="s">
        <v>128</v>
      </c>
      <c r="F40" s="6" t="s">
        <v>45</v>
      </c>
      <c r="G40" s="7"/>
    </row>
    <row r="41" ht="15.75" customHeight="1">
      <c r="A41" s="4" t="s">
        <v>16</v>
      </c>
      <c r="B41" s="4" t="s">
        <v>11</v>
      </c>
      <c r="C41" s="4" t="s">
        <v>129</v>
      </c>
      <c r="D41" s="4" t="s">
        <v>83</v>
      </c>
      <c r="E41" s="4" t="s">
        <v>130</v>
      </c>
      <c r="F41" s="6" t="s">
        <v>45</v>
      </c>
      <c r="G41" s="7"/>
    </row>
    <row r="42" ht="15.75" customHeight="1">
      <c r="A42" s="4" t="s">
        <v>16</v>
      </c>
      <c r="B42" s="4" t="s">
        <v>11</v>
      </c>
      <c r="C42" s="4" t="s">
        <v>131</v>
      </c>
      <c r="D42" s="4" t="s">
        <v>83</v>
      </c>
      <c r="E42" s="4" t="s">
        <v>132</v>
      </c>
      <c r="F42" s="6" t="s">
        <v>45</v>
      </c>
      <c r="G42" s="7"/>
    </row>
    <row r="43" ht="15.75" customHeight="1">
      <c r="A43" s="4" t="s">
        <v>16</v>
      </c>
      <c r="B43" s="4" t="s">
        <v>11</v>
      </c>
      <c r="C43" s="4" t="s">
        <v>133</v>
      </c>
      <c r="D43" s="4" t="s">
        <v>83</v>
      </c>
      <c r="E43" s="4" t="s">
        <v>134</v>
      </c>
      <c r="F43" s="6" t="s">
        <v>45</v>
      </c>
      <c r="G43" s="7"/>
    </row>
    <row r="44" ht="15.75" customHeight="1">
      <c r="A44" s="4" t="s">
        <v>16</v>
      </c>
      <c r="B44" s="4" t="s">
        <v>11</v>
      </c>
      <c r="C44" s="4" t="s">
        <v>135</v>
      </c>
      <c r="D44" s="4" t="s">
        <v>83</v>
      </c>
      <c r="E44" s="4" t="s">
        <v>136</v>
      </c>
      <c r="F44" s="6" t="s">
        <v>45</v>
      </c>
      <c r="G44" s="7"/>
    </row>
    <row r="45" ht="15.75" customHeight="1">
      <c r="A45" s="4" t="s">
        <v>16</v>
      </c>
      <c r="B45" s="4" t="s">
        <v>11</v>
      </c>
      <c r="C45" s="4" t="s">
        <v>137</v>
      </c>
      <c r="D45" s="4" t="s">
        <v>83</v>
      </c>
      <c r="E45" s="4" t="s">
        <v>138</v>
      </c>
      <c r="F45" s="6" t="s">
        <v>45</v>
      </c>
      <c r="G45" s="7"/>
    </row>
    <row r="46" ht="15.75" customHeight="1">
      <c r="A46" s="4" t="s">
        <v>16</v>
      </c>
      <c r="B46" s="4" t="s">
        <v>11</v>
      </c>
      <c r="C46" s="4" t="s">
        <v>139</v>
      </c>
      <c r="D46" s="4" t="s">
        <v>83</v>
      </c>
      <c r="E46" s="4" t="s">
        <v>140</v>
      </c>
      <c r="F46" s="6" t="s">
        <v>59</v>
      </c>
      <c r="G46" s="7"/>
    </row>
    <row r="47" ht="15.75" customHeight="1">
      <c r="A47" s="4" t="s">
        <v>16</v>
      </c>
      <c r="B47" s="4" t="s">
        <v>11</v>
      </c>
      <c r="C47" s="4" t="s">
        <v>141</v>
      </c>
      <c r="D47" s="4" t="s">
        <v>83</v>
      </c>
      <c r="E47" s="4" t="s">
        <v>142</v>
      </c>
      <c r="F47" s="6" t="s">
        <v>59</v>
      </c>
      <c r="G47" s="7"/>
    </row>
    <row r="48" ht="15.75" customHeight="1">
      <c r="A48" s="4" t="s">
        <v>23</v>
      </c>
      <c r="B48" s="4" t="s">
        <v>21</v>
      </c>
      <c r="C48" s="4" t="s">
        <v>22</v>
      </c>
      <c r="D48" s="4" t="s">
        <v>25</v>
      </c>
      <c r="E48" s="4" t="s">
        <v>143</v>
      </c>
      <c r="F48" s="6" t="s">
        <v>45</v>
      </c>
      <c r="G48" s="7"/>
    </row>
    <row r="49" ht="15.75" customHeight="1">
      <c r="A49" s="4" t="s">
        <v>23</v>
      </c>
      <c r="B49" s="4" t="s">
        <v>21</v>
      </c>
      <c r="C49" s="4" t="s">
        <v>47</v>
      </c>
      <c r="D49" s="4" t="s">
        <v>25</v>
      </c>
      <c r="E49" s="4" t="s">
        <v>144</v>
      </c>
      <c r="F49" s="6" t="s">
        <v>45</v>
      </c>
      <c r="G49" s="7"/>
    </row>
    <row r="50" ht="15.75" customHeight="1">
      <c r="A50" s="4" t="s">
        <v>23</v>
      </c>
      <c r="B50" s="4" t="s">
        <v>21</v>
      </c>
      <c r="C50" s="4" t="s">
        <v>49</v>
      </c>
      <c r="D50" s="4" t="s">
        <v>145</v>
      </c>
      <c r="E50" s="4" t="s">
        <v>146</v>
      </c>
      <c r="F50" s="6" t="s">
        <v>45</v>
      </c>
      <c r="G50" s="7"/>
    </row>
    <row r="51" ht="15.75" customHeight="1">
      <c r="A51" s="4" t="s">
        <v>23</v>
      </c>
      <c r="B51" s="4" t="s">
        <v>21</v>
      </c>
      <c r="C51" s="4" t="s">
        <v>51</v>
      </c>
      <c r="D51" s="4" t="s">
        <v>54</v>
      </c>
      <c r="E51" s="4" t="s">
        <v>147</v>
      </c>
      <c r="F51" s="6" t="s">
        <v>45</v>
      </c>
      <c r="G51" s="7"/>
    </row>
    <row r="52" ht="15.75" customHeight="1">
      <c r="A52" s="4" t="s">
        <v>23</v>
      </c>
      <c r="B52" s="4" t="s">
        <v>21</v>
      </c>
      <c r="C52" s="4" t="s">
        <v>53</v>
      </c>
      <c r="D52" s="4" t="s">
        <v>54</v>
      </c>
      <c r="E52" s="4" t="s">
        <v>148</v>
      </c>
      <c r="F52" s="6" t="s">
        <v>45</v>
      </c>
      <c r="G52" s="7"/>
    </row>
    <row r="53" ht="15.75" customHeight="1">
      <c r="A53" s="4" t="s">
        <v>23</v>
      </c>
      <c r="B53" s="4" t="s">
        <v>21</v>
      </c>
      <c r="C53" s="4" t="s">
        <v>56</v>
      </c>
      <c r="D53" s="4" t="s">
        <v>54</v>
      </c>
      <c r="E53" s="4" t="s">
        <v>149</v>
      </c>
      <c r="F53" s="6" t="s">
        <v>45</v>
      </c>
      <c r="G53" s="7"/>
    </row>
    <row r="54" ht="15.75" customHeight="1">
      <c r="A54" s="4" t="s">
        <v>23</v>
      </c>
      <c r="B54" s="4" t="s">
        <v>21</v>
      </c>
      <c r="C54" s="4" t="s">
        <v>58</v>
      </c>
      <c r="D54" s="4" t="s">
        <v>54</v>
      </c>
      <c r="E54" s="4" t="s">
        <v>150</v>
      </c>
      <c r="F54" s="6" t="s">
        <v>45</v>
      </c>
      <c r="G54" s="7"/>
    </row>
    <row r="55" ht="15.75" customHeight="1">
      <c r="A55" s="4" t="s">
        <v>23</v>
      </c>
      <c r="B55" s="4" t="s">
        <v>21</v>
      </c>
      <c r="C55" s="4" t="s">
        <v>61</v>
      </c>
      <c r="D55" s="4" t="s">
        <v>54</v>
      </c>
      <c r="E55" s="4" t="s">
        <v>151</v>
      </c>
      <c r="F55" s="6" t="s">
        <v>45</v>
      </c>
      <c r="G55" s="7"/>
    </row>
    <row r="56" ht="15.75" customHeight="1">
      <c r="A56" s="4" t="s">
        <v>23</v>
      </c>
      <c r="B56" s="4" t="s">
        <v>21</v>
      </c>
      <c r="C56" s="4" t="s">
        <v>64</v>
      </c>
      <c r="D56" s="4" t="s">
        <v>62</v>
      </c>
      <c r="E56" s="4" t="s">
        <v>152</v>
      </c>
      <c r="F56" s="6" t="s">
        <v>59</v>
      </c>
      <c r="G56" s="7"/>
    </row>
    <row r="57" ht="15.75" customHeight="1">
      <c r="A57" s="4" t="s">
        <v>23</v>
      </c>
      <c r="B57" s="4" t="s">
        <v>21</v>
      </c>
      <c r="C57" s="4" t="s">
        <v>66</v>
      </c>
      <c r="D57" s="4" t="s">
        <v>62</v>
      </c>
      <c r="E57" s="4" t="s">
        <v>153</v>
      </c>
      <c r="F57" s="6" t="s">
        <v>59</v>
      </c>
      <c r="G57" s="7"/>
    </row>
    <row r="58" ht="15.75" customHeight="1">
      <c r="A58" s="4" t="s">
        <v>23</v>
      </c>
      <c r="B58" s="4" t="s">
        <v>21</v>
      </c>
      <c r="C58" s="4" t="s">
        <v>68</v>
      </c>
      <c r="D58" s="4" t="s">
        <v>62</v>
      </c>
      <c r="E58" s="4" t="s">
        <v>154</v>
      </c>
      <c r="F58" s="6" t="s">
        <v>59</v>
      </c>
      <c r="G58" s="7"/>
    </row>
    <row r="59" ht="15.75" customHeight="1">
      <c r="A59" s="4" t="s">
        <v>23</v>
      </c>
      <c r="B59" s="4" t="s">
        <v>21</v>
      </c>
      <c r="C59" s="4" t="s">
        <v>70</v>
      </c>
      <c r="D59" s="4" t="s">
        <v>62</v>
      </c>
      <c r="E59" s="4" t="s">
        <v>155</v>
      </c>
      <c r="F59" s="6" t="s">
        <v>59</v>
      </c>
      <c r="G59" s="7"/>
    </row>
    <row r="60" ht="15.75" customHeight="1">
      <c r="A60" s="4" t="s">
        <v>23</v>
      </c>
      <c r="B60" s="4" t="s">
        <v>21</v>
      </c>
      <c r="C60" s="4" t="s">
        <v>72</v>
      </c>
      <c r="D60" s="4" t="s">
        <v>62</v>
      </c>
      <c r="E60" s="4" t="s">
        <v>156</v>
      </c>
      <c r="F60" s="6" t="s">
        <v>59</v>
      </c>
      <c r="G60" s="7"/>
    </row>
    <row r="61" ht="15.75" customHeight="1">
      <c r="A61" s="4" t="s">
        <v>23</v>
      </c>
      <c r="B61" s="4" t="s">
        <v>21</v>
      </c>
      <c r="C61" s="4" t="s">
        <v>75</v>
      </c>
      <c r="D61" s="4" t="s">
        <v>62</v>
      </c>
      <c r="E61" s="4" t="s">
        <v>157</v>
      </c>
      <c r="F61" s="6" t="s">
        <v>59</v>
      </c>
      <c r="G61" s="7"/>
    </row>
    <row r="62" ht="15.75" customHeight="1">
      <c r="A62" s="4" t="s">
        <v>23</v>
      </c>
      <c r="B62" s="4" t="s">
        <v>21</v>
      </c>
      <c r="C62" s="4" t="s">
        <v>77</v>
      </c>
      <c r="D62" s="4" t="s">
        <v>62</v>
      </c>
      <c r="E62" s="4" t="s">
        <v>158</v>
      </c>
      <c r="F62" s="6" t="s">
        <v>59</v>
      </c>
      <c r="G62" s="7"/>
    </row>
    <row r="63" ht="15.75" customHeight="1">
      <c r="A63" s="4" t="s">
        <v>23</v>
      </c>
      <c r="B63" s="4" t="s">
        <v>21</v>
      </c>
      <c r="C63" s="4" t="s">
        <v>80</v>
      </c>
      <c r="D63" s="4" t="s">
        <v>78</v>
      </c>
      <c r="E63" s="4" t="s">
        <v>159</v>
      </c>
      <c r="F63" s="6" t="s">
        <v>59</v>
      </c>
      <c r="G63" s="7"/>
    </row>
    <row r="64" ht="15.75" customHeight="1">
      <c r="A64" s="4" t="s">
        <v>23</v>
      </c>
      <c r="B64" s="4" t="s">
        <v>21</v>
      </c>
      <c r="C64" s="4" t="s">
        <v>82</v>
      </c>
      <c r="D64" s="4" t="s">
        <v>78</v>
      </c>
      <c r="E64" s="4" t="s">
        <v>160</v>
      </c>
      <c r="F64" s="6" t="s">
        <v>59</v>
      </c>
      <c r="G64" s="7"/>
    </row>
    <row r="65" ht="15.75" customHeight="1">
      <c r="A65" s="4" t="s">
        <v>23</v>
      </c>
      <c r="B65" s="4" t="s">
        <v>21</v>
      </c>
      <c r="C65" s="4" t="s">
        <v>85</v>
      </c>
      <c r="D65" s="4" t="s">
        <v>78</v>
      </c>
      <c r="E65" s="4" t="s">
        <v>161</v>
      </c>
      <c r="F65" s="6" t="s">
        <v>59</v>
      </c>
      <c r="G65" s="7"/>
    </row>
    <row r="66" ht="15.75" customHeight="1">
      <c r="A66" s="4" t="s">
        <v>23</v>
      </c>
      <c r="B66" s="4" t="s">
        <v>21</v>
      </c>
      <c r="C66" s="4" t="s">
        <v>87</v>
      </c>
      <c r="D66" s="4" t="s">
        <v>83</v>
      </c>
      <c r="E66" s="4" t="s">
        <v>162</v>
      </c>
      <c r="F66" s="6" t="s">
        <v>45</v>
      </c>
      <c r="G66" s="7"/>
    </row>
    <row r="67" ht="15.75" customHeight="1">
      <c r="A67" s="4" t="s">
        <v>23</v>
      </c>
      <c r="B67" s="4" t="s">
        <v>21</v>
      </c>
      <c r="C67" s="4" t="s">
        <v>89</v>
      </c>
      <c r="D67" s="4" t="s">
        <v>83</v>
      </c>
      <c r="E67" s="4" t="s">
        <v>163</v>
      </c>
      <c r="F67" s="6" t="s">
        <v>45</v>
      </c>
      <c r="G67" s="7"/>
    </row>
    <row r="68" ht="15.75" customHeight="1">
      <c r="A68" s="4" t="s">
        <v>23</v>
      </c>
      <c r="B68" s="4" t="s">
        <v>21</v>
      </c>
      <c r="C68" s="4" t="s">
        <v>91</v>
      </c>
      <c r="D68" s="4" t="s">
        <v>83</v>
      </c>
      <c r="E68" s="4" t="s">
        <v>164</v>
      </c>
      <c r="F68" s="6" t="s">
        <v>45</v>
      </c>
      <c r="G68" s="7"/>
    </row>
    <row r="69" ht="15.75" customHeight="1">
      <c r="A69" s="4" t="s">
        <v>23</v>
      </c>
      <c r="B69" s="4" t="s">
        <v>21</v>
      </c>
      <c r="C69" s="4" t="s">
        <v>93</v>
      </c>
      <c r="D69" s="4" t="s">
        <v>83</v>
      </c>
      <c r="E69" s="4" t="s">
        <v>165</v>
      </c>
      <c r="F69" s="6" t="s">
        <v>45</v>
      </c>
      <c r="G69" s="7"/>
    </row>
    <row r="70" ht="15.75" customHeight="1">
      <c r="A70" s="4" t="s">
        <v>23</v>
      </c>
      <c r="B70" s="4" t="s">
        <v>21</v>
      </c>
      <c r="C70" s="4" t="s">
        <v>95</v>
      </c>
      <c r="D70" s="4" t="s">
        <v>83</v>
      </c>
      <c r="E70" s="4" t="s">
        <v>166</v>
      </c>
      <c r="F70" s="6" t="s">
        <v>45</v>
      </c>
      <c r="G70" s="7"/>
    </row>
    <row r="71" ht="15.75" customHeight="1">
      <c r="A71" s="4" t="s">
        <v>23</v>
      </c>
      <c r="B71" s="4" t="s">
        <v>21</v>
      </c>
      <c r="C71" s="4" t="s">
        <v>97</v>
      </c>
      <c r="D71" s="4" t="s">
        <v>83</v>
      </c>
      <c r="E71" s="4" t="s">
        <v>167</v>
      </c>
      <c r="F71" s="6" t="s">
        <v>45</v>
      </c>
      <c r="G71" s="7"/>
    </row>
    <row r="72" ht="15.75" customHeight="1">
      <c r="A72" s="4" t="s">
        <v>23</v>
      </c>
      <c r="B72" s="4" t="s">
        <v>21</v>
      </c>
      <c r="C72" s="4" t="s">
        <v>99</v>
      </c>
      <c r="D72" s="4" t="s">
        <v>83</v>
      </c>
      <c r="E72" s="4" t="s">
        <v>168</v>
      </c>
      <c r="F72" s="6" t="s">
        <v>45</v>
      </c>
      <c r="G72" s="7"/>
    </row>
    <row r="73" ht="15.75" customHeight="1">
      <c r="A73" s="4" t="s">
        <v>23</v>
      </c>
      <c r="B73" s="4" t="s">
        <v>21</v>
      </c>
      <c r="C73" s="4" t="s">
        <v>101</v>
      </c>
      <c r="D73" s="4" t="s">
        <v>83</v>
      </c>
      <c r="E73" s="4" t="s">
        <v>169</v>
      </c>
      <c r="F73" s="6" t="s">
        <v>45</v>
      </c>
      <c r="G73" s="7"/>
    </row>
    <row r="74" ht="15.75" customHeight="1">
      <c r="A74" s="4" t="s">
        <v>23</v>
      </c>
      <c r="B74" s="4" t="s">
        <v>21</v>
      </c>
      <c r="C74" s="4" t="s">
        <v>103</v>
      </c>
      <c r="D74" s="4" t="s">
        <v>83</v>
      </c>
      <c r="E74" s="4" t="s">
        <v>170</v>
      </c>
      <c r="F74" s="6" t="s">
        <v>45</v>
      </c>
      <c r="G74" s="7"/>
    </row>
    <row r="75" ht="15.75" customHeight="1">
      <c r="A75" s="4" t="s">
        <v>23</v>
      </c>
      <c r="B75" s="4" t="s">
        <v>21</v>
      </c>
      <c r="C75" s="4" t="s">
        <v>105</v>
      </c>
      <c r="D75" s="4" t="s">
        <v>83</v>
      </c>
      <c r="E75" s="4" t="s">
        <v>171</v>
      </c>
      <c r="F75" s="6" t="s">
        <v>45</v>
      </c>
      <c r="G75" s="7"/>
    </row>
    <row r="76" ht="15.75" customHeight="1">
      <c r="A76" s="4" t="s">
        <v>23</v>
      </c>
      <c r="B76" s="4" t="s">
        <v>21</v>
      </c>
      <c r="C76" s="4" t="s">
        <v>107</v>
      </c>
      <c r="D76" s="4" t="s">
        <v>83</v>
      </c>
      <c r="E76" s="4" t="s">
        <v>172</v>
      </c>
      <c r="F76" s="6" t="s">
        <v>45</v>
      </c>
      <c r="G76" s="7"/>
    </row>
    <row r="77" ht="15.75" customHeight="1">
      <c r="A77" s="4" t="s">
        <v>23</v>
      </c>
      <c r="B77" s="4" t="s">
        <v>21</v>
      </c>
      <c r="C77" s="4" t="s">
        <v>109</v>
      </c>
      <c r="D77" s="4" t="s">
        <v>83</v>
      </c>
      <c r="E77" s="4" t="s">
        <v>173</v>
      </c>
      <c r="F77" s="6" t="s">
        <v>45</v>
      </c>
      <c r="G77" s="7"/>
    </row>
    <row r="78" ht="15.75" customHeight="1">
      <c r="A78" s="4" t="s">
        <v>23</v>
      </c>
      <c r="B78" s="4" t="s">
        <v>21</v>
      </c>
      <c r="C78" s="4" t="s">
        <v>111</v>
      </c>
      <c r="D78" s="4" t="s">
        <v>83</v>
      </c>
      <c r="E78" s="4" t="s">
        <v>174</v>
      </c>
      <c r="F78" s="6" t="s">
        <v>45</v>
      </c>
      <c r="G78" s="7"/>
    </row>
    <row r="79" ht="15.75" customHeight="1">
      <c r="A79" s="4" t="s">
        <v>23</v>
      </c>
      <c r="B79" s="4" t="s">
        <v>21</v>
      </c>
      <c r="C79" s="4" t="s">
        <v>113</v>
      </c>
      <c r="D79" s="4" t="s">
        <v>83</v>
      </c>
      <c r="E79" s="4" t="s">
        <v>175</v>
      </c>
      <c r="F79" s="6" t="s">
        <v>59</v>
      </c>
      <c r="G79" s="7"/>
    </row>
    <row r="80" ht="15.75" customHeight="1">
      <c r="A80" s="4" t="s">
        <v>32</v>
      </c>
      <c r="B80" s="4" t="s">
        <v>30</v>
      </c>
      <c r="C80" s="4" t="s">
        <v>22</v>
      </c>
      <c r="D80" s="4" t="s">
        <v>145</v>
      </c>
      <c r="E80" s="4" t="s">
        <v>176</v>
      </c>
      <c r="F80" s="6" t="s">
        <v>59</v>
      </c>
      <c r="G80" s="7"/>
    </row>
    <row r="81" ht="15.75" customHeight="1">
      <c r="A81" s="4" t="s">
        <v>32</v>
      </c>
      <c r="B81" s="4" t="s">
        <v>30</v>
      </c>
      <c r="C81" s="4" t="s">
        <v>47</v>
      </c>
      <c r="D81" s="4" t="s">
        <v>54</v>
      </c>
      <c r="E81" s="4" t="s">
        <v>177</v>
      </c>
      <c r="F81" s="6" t="s">
        <v>45</v>
      </c>
      <c r="G81" s="7"/>
    </row>
    <row r="82" ht="15.75" customHeight="1">
      <c r="A82" s="4" t="s">
        <v>32</v>
      </c>
      <c r="B82" s="4" t="s">
        <v>30</v>
      </c>
      <c r="C82" s="4" t="s">
        <v>49</v>
      </c>
      <c r="D82" s="4" t="s">
        <v>54</v>
      </c>
      <c r="E82" s="4" t="s">
        <v>178</v>
      </c>
      <c r="F82" s="6" t="s">
        <v>45</v>
      </c>
      <c r="G82" s="7"/>
    </row>
    <row r="83" ht="15.75" customHeight="1">
      <c r="A83" s="4" t="s">
        <v>32</v>
      </c>
      <c r="B83" s="4" t="s">
        <v>30</v>
      </c>
      <c r="C83" s="4" t="s">
        <v>51</v>
      </c>
      <c r="D83" s="4" t="s">
        <v>54</v>
      </c>
      <c r="E83" s="4" t="s">
        <v>179</v>
      </c>
      <c r="F83" s="6" t="s">
        <v>45</v>
      </c>
      <c r="G83" s="7"/>
    </row>
    <row r="84" ht="15.75" customHeight="1">
      <c r="A84" s="4" t="s">
        <v>32</v>
      </c>
      <c r="B84" s="4" t="s">
        <v>30</v>
      </c>
      <c r="C84" s="4" t="s">
        <v>53</v>
      </c>
      <c r="D84" s="4" t="s">
        <v>54</v>
      </c>
      <c r="E84" s="4" t="s">
        <v>180</v>
      </c>
      <c r="F84" s="6" t="s">
        <v>45</v>
      </c>
      <c r="G84" s="7"/>
    </row>
    <row r="85" ht="15.75" customHeight="1">
      <c r="A85" s="4" t="s">
        <v>32</v>
      </c>
      <c r="B85" s="4" t="s">
        <v>30</v>
      </c>
      <c r="C85" s="4" t="s">
        <v>56</v>
      </c>
      <c r="D85" s="4" t="s">
        <v>62</v>
      </c>
      <c r="E85" s="4" t="s">
        <v>181</v>
      </c>
      <c r="F85" s="6" t="s">
        <v>45</v>
      </c>
      <c r="G85" s="7"/>
    </row>
    <row r="86" ht="15.75" customHeight="1">
      <c r="A86" s="4" t="s">
        <v>32</v>
      </c>
      <c r="B86" s="4" t="s">
        <v>30</v>
      </c>
      <c r="C86" s="4" t="s">
        <v>58</v>
      </c>
      <c r="D86" s="4" t="s">
        <v>62</v>
      </c>
      <c r="E86" s="4" t="s">
        <v>182</v>
      </c>
      <c r="F86" s="6" t="s">
        <v>59</v>
      </c>
      <c r="G86" s="7"/>
    </row>
    <row r="87" ht="15.75" customHeight="1">
      <c r="A87" s="4" t="s">
        <v>32</v>
      </c>
      <c r="B87" s="4" t="s">
        <v>30</v>
      </c>
      <c r="C87" s="4" t="s">
        <v>61</v>
      </c>
      <c r="D87" s="4" t="s">
        <v>62</v>
      </c>
      <c r="E87" s="4" t="s">
        <v>183</v>
      </c>
      <c r="F87" s="6" t="s">
        <v>59</v>
      </c>
      <c r="G87" s="7"/>
    </row>
    <row r="88" ht="15.75" customHeight="1">
      <c r="A88" s="4" t="s">
        <v>32</v>
      </c>
      <c r="B88" s="4" t="s">
        <v>30</v>
      </c>
      <c r="C88" s="4" t="s">
        <v>64</v>
      </c>
      <c r="D88" s="4" t="s">
        <v>62</v>
      </c>
      <c r="E88" s="4" t="s">
        <v>184</v>
      </c>
      <c r="F88" s="6" t="s">
        <v>59</v>
      </c>
      <c r="G88" s="7"/>
    </row>
    <row r="89" ht="15.75" customHeight="1">
      <c r="A89" s="4" t="s">
        <v>32</v>
      </c>
      <c r="B89" s="4" t="s">
        <v>30</v>
      </c>
      <c r="C89" s="4" t="s">
        <v>66</v>
      </c>
      <c r="D89" s="4" t="s">
        <v>62</v>
      </c>
      <c r="E89" s="4" t="s">
        <v>185</v>
      </c>
      <c r="F89" s="6" t="s">
        <v>59</v>
      </c>
      <c r="G89" s="7"/>
    </row>
    <row r="90" ht="15.75" customHeight="1">
      <c r="A90" s="4" t="s">
        <v>32</v>
      </c>
      <c r="B90" s="4" t="s">
        <v>30</v>
      </c>
      <c r="C90" s="4" t="s">
        <v>68</v>
      </c>
      <c r="D90" s="4" t="s">
        <v>62</v>
      </c>
      <c r="E90" s="4" t="s">
        <v>186</v>
      </c>
      <c r="F90" s="6" t="s">
        <v>59</v>
      </c>
      <c r="G90" s="7"/>
    </row>
    <row r="91" ht="15.75" customHeight="1">
      <c r="A91" s="4" t="s">
        <v>32</v>
      </c>
      <c r="B91" s="4" t="s">
        <v>30</v>
      </c>
      <c r="C91" s="4" t="s">
        <v>70</v>
      </c>
      <c r="D91" s="4" t="s">
        <v>78</v>
      </c>
      <c r="E91" s="4" t="s">
        <v>187</v>
      </c>
      <c r="F91" s="6" t="s">
        <v>59</v>
      </c>
      <c r="G91" s="7"/>
    </row>
    <row r="92" ht="15.75" customHeight="1">
      <c r="A92" s="4" t="s">
        <v>32</v>
      </c>
      <c r="B92" s="4" t="s">
        <v>30</v>
      </c>
      <c r="C92" s="4" t="s">
        <v>72</v>
      </c>
      <c r="D92" s="4" t="s">
        <v>78</v>
      </c>
      <c r="E92" s="4" t="s">
        <v>188</v>
      </c>
      <c r="F92" s="6" t="s">
        <v>59</v>
      </c>
      <c r="G92" s="7"/>
    </row>
    <row r="93" ht="15.75" customHeight="1">
      <c r="A93" s="4" t="s">
        <v>32</v>
      </c>
      <c r="B93" s="4" t="s">
        <v>30</v>
      </c>
      <c r="C93" s="4" t="s">
        <v>75</v>
      </c>
      <c r="D93" s="4" t="s">
        <v>78</v>
      </c>
      <c r="E93" s="4" t="s">
        <v>189</v>
      </c>
      <c r="F93" s="6" t="s">
        <v>59</v>
      </c>
      <c r="G93" s="7"/>
    </row>
    <row r="94" ht="15.75" customHeight="1">
      <c r="A94" s="4" t="s">
        <v>32</v>
      </c>
      <c r="B94" s="4" t="s">
        <v>30</v>
      </c>
      <c r="C94" s="4" t="s">
        <v>77</v>
      </c>
      <c r="D94" s="4" t="s">
        <v>78</v>
      </c>
      <c r="E94" s="4" t="s">
        <v>190</v>
      </c>
      <c r="F94" s="6" t="s">
        <v>59</v>
      </c>
      <c r="G94" s="7"/>
    </row>
    <row r="95" ht="15.75" customHeight="1">
      <c r="A95" s="4" t="s">
        <v>32</v>
      </c>
      <c r="B95" s="4" t="s">
        <v>30</v>
      </c>
      <c r="C95" s="4" t="s">
        <v>80</v>
      </c>
      <c r="D95" s="4" t="s">
        <v>78</v>
      </c>
      <c r="E95" s="4" t="s">
        <v>191</v>
      </c>
      <c r="F95" s="6" t="s">
        <v>59</v>
      </c>
      <c r="G95" s="7"/>
    </row>
    <row r="96" ht="15.75" customHeight="1">
      <c r="A96" s="4" t="s">
        <v>32</v>
      </c>
      <c r="B96" s="4" t="s">
        <v>30</v>
      </c>
      <c r="C96" s="4" t="s">
        <v>82</v>
      </c>
      <c r="D96" s="4" t="s">
        <v>83</v>
      </c>
      <c r="E96" s="4" t="s">
        <v>192</v>
      </c>
      <c r="F96" s="6" t="s">
        <v>45</v>
      </c>
      <c r="G96" s="7"/>
    </row>
    <row r="97" ht="15.75" customHeight="1">
      <c r="A97" s="4" t="s">
        <v>32</v>
      </c>
      <c r="B97" s="4" t="s">
        <v>30</v>
      </c>
      <c r="C97" s="4" t="s">
        <v>85</v>
      </c>
      <c r="D97" s="4" t="s">
        <v>83</v>
      </c>
      <c r="E97" s="4" t="s">
        <v>193</v>
      </c>
      <c r="F97" s="6" t="s">
        <v>45</v>
      </c>
      <c r="G97" s="7"/>
    </row>
    <row r="98" ht="15.75" customHeight="1">
      <c r="A98" s="4" t="s">
        <v>32</v>
      </c>
      <c r="B98" s="4" t="s">
        <v>30</v>
      </c>
      <c r="C98" s="4" t="s">
        <v>87</v>
      </c>
      <c r="D98" s="4" t="s">
        <v>83</v>
      </c>
      <c r="E98" s="4" t="s">
        <v>194</v>
      </c>
      <c r="F98" s="6" t="s">
        <v>45</v>
      </c>
      <c r="G98" s="7"/>
    </row>
    <row r="99" ht="15.75" customHeight="1">
      <c r="A99" s="4" t="s">
        <v>32</v>
      </c>
      <c r="B99" s="4" t="s">
        <v>30</v>
      </c>
      <c r="C99" s="4" t="s">
        <v>89</v>
      </c>
      <c r="D99" s="4" t="s">
        <v>83</v>
      </c>
      <c r="E99" s="4" t="s">
        <v>195</v>
      </c>
      <c r="F99" s="6" t="s">
        <v>45</v>
      </c>
      <c r="G99" s="7"/>
    </row>
    <row r="100" ht="15.75" customHeight="1">
      <c r="A100" s="4" t="s">
        <v>32</v>
      </c>
      <c r="B100" s="4" t="s">
        <v>30</v>
      </c>
      <c r="C100" s="4" t="s">
        <v>91</v>
      </c>
      <c r="D100" s="4" t="s">
        <v>83</v>
      </c>
      <c r="E100" s="4" t="s">
        <v>196</v>
      </c>
      <c r="F100" s="6" t="s">
        <v>45</v>
      </c>
      <c r="G100" s="7"/>
    </row>
    <row r="101" ht="15.75" customHeight="1">
      <c r="A101" s="4" t="s">
        <v>32</v>
      </c>
      <c r="B101" s="4" t="s">
        <v>30</v>
      </c>
      <c r="C101" s="4" t="s">
        <v>93</v>
      </c>
      <c r="D101" s="4" t="s">
        <v>83</v>
      </c>
      <c r="E101" s="4" t="s">
        <v>197</v>
      </c>
      <c r="F101" s="6" t="s">
        <v>45</v>
      </c>
      <c r="G101" s="7"/>
    </row>
    <row r="102" ht="15.75" customHeight="1">
      <c r="A102" s="4" t="s">
        <v>32</v>
      </c>
      <c r="B102" s="4" t="s">
        <v>30</v>
      </c>
      <c r="C102" s="4" t="s">
        <v>95</v>
      </c>
      <c r="D102" s="4" t="s">
        <v>83</v>
      </c>
      <c r="E102" s="4" t="s">
        <v>198</v>
      </c>
      <c r="F102" s="6" t="s">
        <v>45</v>
      </c>
      <c r="G102" s="7"/>
    </row>
    <row r="103" ht="15.75" customHeight="1">
      <c r="A103" s="4" t="s">
        <v>32</v>
      </c>
      <c r="B103" s="4" t="s">
        <v>30</v>
      </c>
      <c r="C103" s="4" t="s">
        <v>97</v>
      </c>
      <c r="D103" s="4" t="s">
        <v>83</v>
      </c>
      <c r="E103" s="4" t="s">
        <v>199</v>
      </c>
      <c r="F103" s="6" t="s">
        <v>45</v>
      </c>
      <c r="G103" s="7"/>
    </row>
    <row r="104" ht="15.75" customHeight="1">
      <c r="A104" s="4" t="s">
        <v>32</v>
      </c>
      <c r="B104" s="4" t="s">
        <v>30</v>
      </c>
      <c r="C104" s="4" t="s">
        <v>99</v>
      </c>
      <c r="D104" s="4" t="s">
        <v>83</v>
      </c>
      <c r="E104" s="4" t="s">
        <v>200</v>
      </c>
      <c r="F104" s="6" t="s">
        <v>45</v>
      </c>
      <c r="G104" s="7"/>
    </row>
    <row r="105" ht="15.75" customHeight="1">
      <c r="A105" s="4" t="s">
        <v>32</v>
      </c>
      <c r="B105" s="4" t="s">
        <v>30</v>
      </c>
      <c r="C105" s="4" t="s">
        <v>101</v>
      </c>
      <c r="D105" s="4" t="s">
        <v>83</v>
      </c>
      <c r="E105" s="4" t="s">
        <v>201</v>
      </c>
      <c r="F105" s="6" t="s">
        <v>45</v>
      </c>
      <c r="G105" s="7"/>
    </row>
    <row r="106" ht="15.75" customHeight="1">
      <c r="A106" s="4" t="s">
        <v>32</v>
      </c>
      <c r="B106" s="4" t="s">
        <v>30</v>
      </c>
      <c r="C106" s="4" t="s">
        <v>103</v>
      </c>
      <c r="D106" s="4" t="s">
        <v>83</v>
      </c>
      <c r="E106" s="4" t="s">
        <v>202</v>
      </c>
      <c r="F106" s="6" t="s">
        <v>45</v>
      </c>
      <c r="G106" s="7"/>
    </row>
    <row r="107" ht="15.75" customHeight="1">
      <c r="A107" s="4" t="s">
        <v>32</v>
      </c>
      <c r="B107" s="4" t="s">
        <v>30</v>
      </c>
      <c r="C107" s="4" t="s">
        <v>105</v>
      </c>
      <c r="D107" s="4" t="s">
        <v>83</v>
      </c>
      <c r="E107" s="4" t="s">
        <v>203</v>
      </c>
      <c r="F107" s="6" t="s">
        <v>45</v>
      </c>
      <c r="G107" s="7"/>
    </row>
    <row r="108" ht="15.75" customHeight="1">
      <c r="A108" s="4" t="s">
        <v>32</v>
      </c>
      <c r="B108" s="4" t="s">
        <v>30</v>
      </c>
      <c r="C108" s="4" t="s">
        <v>107</v>
      </c>
      <c r="D108" s="4" t="s">
        <v>83</v>
      </c>
      <c r="E108" s="4" t="s">
        <v>204</v>
      </c>
      <c r="F108" s="6" t="s">
        <v>45</v>
      </c>
      <c r="G108" s="7"/>
    </row>
    <row r="109" ht="15.75" customHeight="1">
      <c r="A109" s="4" t="s">
        <v>38</v>
      </c>
      <c r="B109" s="4" t="s">
        <v>37</v>
      </c>
      <c r="C109" s="4" t="s">
        <v>22</v>
      </c>
      <c r="D109" s="4" t="s">
        <v>145</v>
      </c>
      <c r="E109" s="4" t="s">
        <v>205</v>
      </c>
      <c r="F109" s="6" t="s">
        <v>59</v>
      </c>
      <c r="G109" s="7"/>
    </row>
    <row r="110" ht="15.75" customHeight="1">
      <c r="A110" s="4" t="s">
        <v>38</v>
      </c>
      <c r="B110" s="4" t="s">
        <v>37</v>
      </c>
      <c r="C110" s="4" t="s">
        <v>47</v>
      </c>
      <c r="D110" s="4" t="s">
        <v>54</v>
      </c>
      <c r="E110" s="4" t="s">
        <v>206</v>
      </c>
      <c r="F110" s="6" t="s">
        <v>45</v>
      </c>
      <c r="G110" s="7"/>
    </row>
    <row r="111" ht="15.75" customHeight="1">
      <c r="A111" s="4" t="s">
        <v>38</v>
      </c>
      <c r="B111" s="4" t="s">
        <v>37</v>
      </c>
      <c r="C111" s="4" t="s">
        <v>49</v>
      </c>
      <c r="D111" s="4" t="s">
        <v>54</v>
      </c>
      <c r="E111" s="4" t="s">
        <v>207</v>
      </c>
      <c r="F111" s="6" t="s">
        <v>45</v>
      </c>
      <c r="G111" s="7"/>
    </row>
    <row r="112" ht="15.75" customHeight="1">
      <c r="A112" s="4" t="s">
        <v>38</v>
      </c>
      <c r="B112" s="4" t="s">
        <v>37</v>
      </c>
      <c r="C112" s="4" t="s">
        <v>51</v>
      </c>
      <c r="D112" s="4" t="s">
        <v>54</v>
      </c>
      <c r="E112" s="4" t="s">
        <v>208</v>
      </c>
      <c r="F112" s="6" t="s">
        <v>45</v>
      </c>
      <c r="G112" s="7"/>
    </row>
    <row r="113" ht="15.75" customHeight="1">
      <c r="A113" s="4" t="s">
        <v>38</v>
      </c>
      <c r="B113" s="4" t="s">
        <v>37</v>
      </c>
      <c r="C113" s="4" t="s">
        <v>53</v>
      </c>
      <c r="D113" s="4" t="s">
        <v>54</v>
      </c>
      <c r="E113" s="4" t="s">
        <v>209</v>
      </c>
      <c r="F113" s="6" t="s">
        <v>45</v>
      </c>
      <c r="G113" s="7"/>
    </row>
    <row r="114" ht="15.75" customHeight="1">
      <c r="A114" s="4" t="s">
        <v>38</v>
      </c>
      <c r="B114" s="4" t="s">
        <v>37</v>
      </c>
      <c r="C114" s="4" t="s">
        <v>56</v>
      </c>
      <c r="D114" s="4" t="s">
        <v>54</v>
      </c>
      <c r="E114" s="4" t="s">
        <v>210</v>
      </c>
      <c r="F114" s="6" t="s">
        <v>45</v>
      </c>
      <c r="G114" s="7"/>
    </row>
    <row r="115" ht="15.75" customHeight="1">
      <c r="A115" s="4" t="s">
        <v>38</v>
      </c>
      <c r="B115" s="4" t="s">
        <v>37</v>
      </c>
      <c r="C115" s="4" t="s">
        <v>58</v>
      </c>
      <c r="D115" s="4" t="s">
        <v>54</v>
      </c>
      <c r="E115" s="4" t="s">
        <v>211</v>
      </c>
      <c r="F115" s="6" t="s">
        <v>45</v>
      </c>
      <c r="G115" s="7"/>
    </row>
    <row r="116" ht="15.75" customHeight="1">
      <c r="A116" s="4" t="s">
        <v>38</v>
      </c>
      <c r="B116" s="4" t="s">
        <v>37</v>
      </c>
      <c r="C116" s="4" t="s">
        <v>61</v>
      </c>
      <c r="D116" s="4" t="s">
        <v>62</v>
      </c>
      <c r="E116" s="4" t="s">
        <v>212</v>
      </c>
      <c r="F116" s="6" t="s">
        <v>45</v>
      </c>
      <c r="G116" s="7"/>
    </row>
    <row r="117" ht="15.75" customHeight="1">
      <c r="A117" s="4" t="s">
        <v>38</v>
      </c>
      <c r="B117" s="4" t="s">
        <v>37</v>
      </c>
      <c r="C117" s="4" t="s">
        <v>64</v>
      </c>
      <c r="D117" s="4" t="s">
        <v>62</v>
      </c>
      <c r="E117" s="4" t="s">
        <v>213</v>
      </c>
      <c r="F117" s="6" t="s">
        <v>59</v>
      </c>
      <c r="G117" s="7"/>
    </row>
    <row r="118" ht="15.75" customHeight="1">
      <c r="A118" s="4" t="s">
        <v>38</v>
      </c>
      <c r="B118" s="4" t="s">
        <v>37</v>
      </c>
      <c r="C118" s="4" t="s">
        <v>66</v>
      </c>
      <c r="D118" s="4" t="s">
        <v>78</v>
      </c>
      <c r="E118" s="4" t="s">
        <v>214</v>
      </c>
      <c r="F118" s="6" t="s">
        <v>45</v>
      </c>
      <c r="G118" s="7"/>
    </row>
    <row r="119" ht="15.75" customHeight="1">
      <c r="A119" s="4" t="s">
        <v>38</v>
      </c>
      <c r="B119" s="4" t="s">
        <v>37</v>
      </c>
      <c r="C119" s="4" t="s">
        <v>68</v>
      </c>
      <c r="D119" s="4" t="s">
        <v>78</v>
      </c>
      <c r="E119" s="4" t="s">
        <v>215</v>
      </c>
      <c r="F119" s="6" t="s">
        <v>59</v>
      </c>
      <c r="G119" s="7"/>
    </row>
    <row r="120" ht="15.75" customHeight="1">
      <c r="A120" s="4" t="s">
        <v>38</v>
      </c>
      <c r="B120" s="4" t="s">
        <v>37</v>
      </c>
      <c r="C120" s="4" t="s">
        <v>70</v>
      </c>
      <c r="D120" s="4" t="s">
        <v>78</v>
      </c>
      <c r="E120" s="4" t="s">
        <v>216</v>
      </c>
      <c r="F120" s="6" t="s">
        <v>59</v>
      </c>
      <c r="G120" s="7"/>
    </row>
    <row r="121" ht="15.75" customHeight="1">
      <c r="A121" s="4" t="s">
        <v>38</v>
      </c>
      <c r="B121" s="4" t="s">
        <v>37</v>
      </c>
      <c r="C121" s="4" t="s">
        <v>72</v>
      </c>
      <c r="D121" s="4" t="s">
        <v>83</v>
      </c>
      <c r="E121" s="4" t="s">
        <v>217</v>
      </c>
      <c r="F121" s="6" t="s">
        <v>45</v>
      </c>
      <c r="G121" s="7"/>
    </row>
    <row r="122" ht="15.75" customHeight="1">
      <c r="A122" s="4" t="s">
        <v>38</v>
      </c>
      <c r="B122" s="4" t="s">
        <v>37</v>
      </c>
      <c r="C122" s="4" t="s">
        <v>75</v>
      </c>
      <c r="D122" s="4" t="s">
        <v>83</v>
      </c>
      <c r="E122" s="4" t="s">
        <v>218</v>
      </c>
      <c r="F122" s="6" t="s">
        <v>45</v>
      </c>
      <c r="G122" s="7"/>
    </row>
    <row r="123" ht="15.75" customHeight="1">
      <c r="A123" s="4" t="s">
        <v>38</v>
      </c>
      <c r="B123" s="4" t="s">
        <v>37</v>
      </c>
      <c r="C123" s="4" t="s">
        <v>77</v>
      </c>
      <c r="D123" s="4" t="s">
        <v>83</v>
      </c>
      <c r="E123" s="4" t="s">
        <v>219</v>
      </c>
      <c r="F123" s="6" t="s">
        <v>45</v>
      </c>
      <c r="G123" s="7"/>
    </row>
    <row r="124" ht="15.75" customHeight="1">
      <c r="A124" s="4" t="s">
        <v>38</v>
      </c>
      <c r="B124" s="4" t="s">
        <v>37</v>
      </c>
      <c r="C124" s="4" t="s">
        <v>80</v>
      </c>
      <c r="D124" s="4" t="s">
        <v>83</v>
      </c>
      <c r="E124" s="4" t="s">
        <v>220</v>
      </c>
      <c r="F124" s="6" t="s">
        <v>45</v>
      </c>
      <c r="G124" s="7"/>
    </row>
    <row r="125" ht="15.75" customHeight="1">
      <c r="A125" s="4" t="s">
        <v>38</v>
      </c>
      <c r="B125" s="4" t="s">
        <v>37</v>
      </c>
      <c r="C125" s="4" t="s">
        <v>82</v>
      </c>
      <c r="D125" s="4" t="s">
        <v>83</v>
      </c>
      <c r="E125" s="4" t="s">
        <v>221</v>
      </c>
      <c r="F125" s="6" t="s">
        <v>45</v>
      </c>
      <c r="G125" s="7"/>
    </row>
    <row r="126" ht="15.75" customHeight="1">
      <c r="A126" s="4" t="s">
        <v>38</v>
      </c>
      <c r="B126" s="4" t="s">
        <v>37</v>
      </c>
      <c r="C126" s="4" t="s">
        <v>85</v>
      </c>
      <c r="D126" s="4" t="s">
        <v>83</v>
      </c>
      <c r="E126" s="4" t="s">
        <v>222</v>
      </c>
      <c r="F126" s="6" t="s">
        <v>45</v>
      </c>
      <c r="G126" s="7"/>
    </row>
    <row r="127" ht="15.75" customHeight="1">
      <c r="A127" s="4" t="s">
        <v>38</v>
      </c>
      <c r="B127" s="4" t="s">
        <v>37</v>
      </c>
      <c r="C127" s="4" t="s">
        <v>87</v>
      </c>
      <c r="D127" s="4" t="s">
        <v>83</v>
      </c>
      <c r="E127" s="4" t="s">
        <v>223</v>
      </c>
      <c r="F127" s="6" t="s">
        <v>45</v>
      </c>
      <c r="G127" s="7"/>
    </row>
    <row r="128" ht="15.75" customHeight="1">
      <c r="A128" s="4" t="s">
        <v>38</v>
      </c>
      <c r="B128" s="4" t="s">
        <v>37</v>
      </c>
      <c r="C128" s="4" t="s">
        <v>89</v>
      </c>
      <c r="D128" s="4" t="s">
        <v>83</v>
      </c>
      <c r="E128" s="4" t="s">
        <v>224</v>
      </c>
      <c r="F128" s="6" t="s">
        <v>45</v>
      </c>
      <c r="G128" s="7"/>
    </row>
    <row r="129" ht="15.75" customHeight="1">
      <c r="A129" s="4" t="s">
        <v>38</v>
      </c>
      <c r="B129" s="4" t="s">
        <v>37</v>
      </c>
      <c r="C129" s="4" t="s">
        <v>91</v>
      </c>
      <c r="D129" s="4" t="s">
        <v>83</v>
      </c>
      <c r="E129" s="4" t="s">
        <v>225</v>
      </c>
      <c r="F129" s="6" t="s">
        <v>45</v>
      </c>
      <c r="G129" s="7"/>
    </row>
    <row r="130" ht="15.75" customHeight="1">
      <c r="A130" s="4" t="s">
        <v>38</v>
      </c>
      <c r="B130" s="4" t="s">
        <v>37</v>
      </c>
      <c r="C130" s="4" t="s">
        <v>93</v>
      </c>
      <c r="D130" s="4" t="s">
        <v>83</v>
      </c>
      <c r="E130" s="4" t="s">
        <v>226</v>
      </c>
      <c r="F130" s="6" t="s">
        <v>45</v>
      </c>
      <c r="G130" s="7"/>
    </row>
    <row r="131" ht="15.75" customHeight="1">
      <c r="A131" s="4" t="s">
        <v>38</v>
      </c>
      <c r="B131" s="4" t="s">
        <v>37</v>
      </c>
      <c r="C131" s="4" t="s">
        <v>95</v>
      </c>
      <c r="D131" s="4" t="s">
        <v>83</v>
      </c>
      <c r="E131" s="4" t="s">
        <v>227</v>
      </c>
      <c r="F131" s="6" t="s">
        <v>59</v>
      </c>
      <c r="G131" s="7"/>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31"/>
  <dataValidations>
    <dataValidation type="list" allowBlank="1" showInputMessage="1" showErrorMessage="1" prompt="Invalid label - Pick CLAIM or BACKGROUND" sqref="F2:F131">
      <formula1>"CLAIM,BACKGROUND"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90.0"/>
    <col customWidth="1" min="4" max="4" width="10.0"/>
    <col customWidth="1" min="5" max="5" width="45.0"/>
    <col customWidth="1" min="6" max="26" width="8.71"/>
  </cols>
  <sheetData>
    <row r="1">
      <c r="A1" s="2" t="s">
        <v>1</v>
      </c>
      <c r="B1" s="2" t="s">
        <v>2</v>
      </c>
      <c r="C1" s="2" t="s">
        <v>4</v>
      </c>
      <c r="D1" s="2" t="s">
        <v>5</v>
      </c>
      <c r="E1" s="2" t="s">
        <v>7</v>
      </c>
    </row>
    <row r="2">
      <c r="A2" s="4" t="s">
        <v>11</v>
      </c>
      <c r="B2" s="4" t="s">
        <v>16</v>
      </c>
      <c r="C2" s="4" t="s">
        <v>18</v>
      </c>
      <c r="D2" s="4">
        <v>46.0</v>
      </c>
      <c r="E2" s="4" t="s">
        <v>20</v>
      </c>
    </row>
    <row r="3">
      <c r="A3" s="4" t="s">
        <v>21</v>
      </c>
      <c r="B3" s="4" t="s">
        <v>23</v>
      </c>
      <c r="C3" s="4" t="s">
        <v>26</v>
      </c>
      <c r="D3" s="4">
        <v>32.0</v>
      </c>
      <c r="E3" s="4" t="s">
        <v>29</v>
      </c>
    </row>
    <row r="4">
      <c r="A4" s="4" t="s">
        <v>30</v>
      </c>
      <c r="B4" s="4" t="s">
        <v>32</v>
      </c>
      <c r="C4" s="4" t="s">
        <v>33</v>
      </c>
      <c r="D4" s="4">
        <v>29.0</v>
      </c>
      <c r="E4" s="4" t="s">
        <v>35</v>
      </c>
    </row>
    <row r="5">
      <c r="A5" s="4" t="s">
        <v>37</v>
      </c>
      <c r="B5" s="4" t="s">
        <v>38</v>
      </c>
      <c r="C5" s="4" t="s">
        <v>39</v>
      </c>
      <c r="D5" s="4">
        <v>23.0</v>
      </c>
      <c r="E5" s="4"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